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Learning Dashboard" sheetId="2" state="visible" r:id="rId4"/>
    <sheet name="60-Day Plan" sheetId="3" state="visible" r:id="rId5"/>
    <sheet name="30-Day Accelerated" sheetId="4" state="visible" r:id="rId6"/>
    <sheet name="Daily Schedule" sheetId="5" state="visible" r:id="rId7"/>
    <sheet name="Daily Log" sheetId="6" state="visible" r:id="rId8"/>
    <sheet name="Curriculum" sheetId="7" state="visible" r:id="rId9"/>
    <sheet name="Skill Assessment" sheetId="8" state="visible" r:id="rId10"/>
    <sheet name="DSA Log" sheetId="9" state="visible" r:id="rId11"/>
    <sheet name="Mock Interviews" sheetId="10" state="visible" r:id="rId12"/>
    <sheet name="Projects &amp; Review" sheetId="11" state="visible" r:id="rId13"/>
    <sheet name="Weak Areas" sheetId="12" state="visible" r:id="rId14"/>
    <sheet name="Weekly Review" sheetId="13" state="visible" r:id="rId15"/>
    <sheet name="7-Day Plan" sheetId="14" state="visible" r:id="rId16"/>
    <sheet name="Applications" sheetId="15" state="visible" r:id="rId17"/>
    <sheet name="Outreach" sheetId="16" state="visible" r:id="rId18"/>
    <sheet name="Freelance Pipeline" sheetId="17" state="visible" r:id="rId19"/>
    <sheet name="Weekly Scorecard" sheetId="18" state="visible" r:id="rId20"/>
    <sheet name="Interview Prep" sheetId="19" state="visible" r:id="rId21"/>
    <sheet name="Money" sheetId="20" state="visible" r:id="rId22"/>
    <sheet name="Change Log" sheetId="21" state="visible" r:id="rId23"/>
  </sheets>
  <definedNames>
    <definedName function="false" hidden="true" localSheetId="2" name="_xlnm._FilterDatabase" vbProcedure="false">'60-Day Plan'!$A$1:$T$61</definedName>
    <definedName function="false" hidden="true" localSheetId="14" name="_xlnm._FilterDatabase" vbProcedure="false">Applications!$A$1:$M$300</definedName>
    <definedName function="false" hidden="true" localSheetId="6" name="_xlnm._FilterDatabase" vbProcedure="false">Curriculum!$A$1:$I$139</definedName>
    <definedName function="false" hidden="true" localSheetId="8" name="_xlnm._FilterDatabase" vbProcedure="false">'DSA Log'!$A$1:$R$201</definedName>
    <definedName function="false" hidden="true" localSheetId="15" name="_xlnm._FilterDatabase" vbProcedure="false">Outreach!$A$1:$K$300</definedName>
    <definedName function="false" hidden="true" localSheetId="11" name="_xlnm._FilterDatabase" vbProcedure="false">'Weak Areas'!$A$1:$J$101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<sst xmlns="http://schemas.openxmlformats.org/spreadsheetml/2006/main" count="2146" uniqueCount="1095">
  <si>
    <t xml:space="preserve">Career &amp; Income Recovery Tracker</t>
  </si>
  <si>
    <t xml:space="preserve">Plan start date</t>
  </si>
  <si>
    <t xml:space="preserve">(Change B3 and every date in the tracker shifts.)</t>
  </si>
  <si>
    <t xml:space="preserve">HOW TO USE</t>
  </si>
  <si>
    <t xml:space="preserve">Every day</t>
  </si>
  <si>
    <t xml:space="preserve">Open 'Daily Log' and fill today's row. Takes 2 minutes.</t>
  </si>
  <si>
    <t xml:space="preserve">Every application</t>
  </si>
  <si>
    <t xml:space="preserve">Add a row in 'Applications'. Log follow-up dates when you send them.</t>
  </si>
  <si>
    <t xml:space="preserve">Every message sent</t>
  </si>
  <si>
    <t xml:space="preserve">Add a row in 'Outreach' (ex-colleagues, agencies, recruiters, brother's referrals, clients).</t>
  </si>
  <si>
    <t xml:space="preserve">Every client lead</t>
  </si>
  <si>
    <t xml:space="preserve">Add a row in 'Freelance Pipeline'. Record money only when it is actually received.</t>
  </si>
  <si>
    <t xml:space="preserve">Every Sunday</t>
  </si>
  <si>
    <t xml:space="preserve">Open 'Weekly Scorecard', fill the yellow cells for the week, then answer the review questions.</t>
  </si>
  <si>
    <t xml:space="preserve">Money</t>
  </si>
  <si>
    <t xml:space="preserve">Fill 'Money' once, update monthly.</t>
  </si>
  <si>
    <t xml:space="preserve">COLOUR LEGEND</t>
  </si>
  <si>
    <t xml:space="preserve">Yellow cell, blue text</t>
  </si>
  <si>
    <t xml:space="preserve">You type here (inputs and manual numbers).</t>
  </si>
  <si>
    <t xml:space="preserve">White cells in tables</t>
  </si>
  <si>
    <t xml:space="preserve">Also yours to fill. Row 2 in Applications, Outreach and Freelance Pipeline is a grey EXAMPLE and is not counted. Leave it and start your own entries in row 3.</t>
  </si>
  <si>
    <t xml:space="preserve">Black text in Scorecard</t>
  </si>
  <si>
    <t xml:space="preserve">Formulas. They count from your other sheets automatically. Do not overwrite.</t>
  </si>
  <si>
    <t xml:space="preserve">DECISION RULES</t>
  </si>
  <si>
    <t xml:space="preserve">After 50 outreach messages, 0 replies</t>
  </si>
  <si>
    <t xml:space="preserve">Change the message and the target audience, not the effort.</t>
  </si>
  <si>
    <t xml:space="preserve">After 15 applications, 0 interviews</t>
  </si>
  <si>
    <t xml:space="preserve">Rework CV, LinkedIn headline and role targeting.</t>
  </si>
  <si>
    <t xml:space="preserve">Interviews but no offers</t>
  </si>
  <si>
    <t xml:space="preserve">Spend the next week on interview prep only: explain 2 projects, ORM/indexing, Celery/Redis, system design.</t>
  </si>
  <si>
    <t xml:space="preserve">Replies but no paid work after 30 days</t>
  </si>
  <si>
    <t xml:space="preserve">Cut the price/scope of the first offer and ask for a small paid trial, never unpaid work.</t>
  </si>
  <si>
    <t xml:space="preserve">Low-value time over 3 hrs/week</t>
  </si>
  <si>
    <t xml:space="preserve">Block those sites, put the time back into outreach.</t>
  </si>
  <si>
    <t xml:space="preserve">Day 30 and Day 90</t>
  </si>
  <si>
    <t xml:space="preserve">Review the scorecard totals and decide: continue, adjust, or switch channel.</t>
  </si>
  <si>
    <t xml:space="preserve">RULES TO PROTECT YOU</t>
  </si>
  <si>
    <t xml:space="preserve">Never</t>
  </si>
  <si>
    <t xml:space="preserve">Pay for Connects, courses, 'job' fees or unknown clients' upfront costs. No unpaid test tasks beyond about 1 hour.</t>
  </si>
  <si>
    <t xml:space="preserve">Always</t>
  </si>
  <si>
    <t xml:space="preserve">Take 50% upfront from new clients, use a written scope, and deliver in milestones.</t>
  </si>
  <si>
    <t xml:space="preserve">No guarantees</t>
  </si>
  <si>
    <t xml:space="preserve">This tracker measures effort and results. It does not promise a job or income.</t>
  </si>
  <si>
    <t xml:space="preserve">LEARNING PROGRAM SHEETS</t>
  </si>
  <si>
    <t xml:space="preserve">Learning Dashboard</t>
  </si>
  <si>
    <t xml:space="preserve">Start here each day: today's plan day, progress, readiness, interview checkpoints, charts.</t>
  </si>
  <si>
    <t xml:space="preserve">60-Day Plan</t>
  </si>
  <si>
    <t xml:space="preserve">Main daily plan: topic, exercise, DSA, design, interview practice, completion criteria, status, confidence.</t>
  </si>
  <si>
    <t xml:space="preserve">30-Day Accelerated</t>
  </si>
  <si>
    <t xml:space="preserve">Alternative if you must compress. Covers two plan-days per day at concept depth.</t>
  </si>
  <si>
    <t xml:space="preserve">Daily Schedule</t>
  </si>
  <si>
    <t xml:space="preserve">Time blocks, 3-hour fallback, low-energy minimum, recovery rules, interview and paid-project rules.</t>
  </si>
  <si>
    <t xml:space="preserve">Curriculum</t>
  </si>
  <si>
    <t xml:space="preserve">Topic checklist for all 9 modules with priority tier and evidence.</t>
  </si>
  <si>
    <t xml:space="preserve">Skill Assessment</t>
  </si>
  <si>
    <t xml:space="preserve">Levels 1-5 at baseline, Day 15/30/45/60 with weighted readiness score.</t>
  </si>
  <si>
    <t xml:space="preserve">DSA Log</t>
  </si>
  <si>
    <t xml:space="preserve">Every problem with 1-3-7-21 day spaced-review dates.</t>
  </si>
  <si>
    <t xml:space="preserve">Mock Interviews</t>
  </si>
  <si>
    <t xml:space="preserve">Question, your answer, evaluation, missed concepts, improved answer, follow-up task.</t>
  </si>
  <si>
    <t xml:space="preserve">Projects &amp; Review</t>
  </si>
  <si>
    <t xml:space="preserve">Project milestones and code review checklist.</t>
  </si>
  <si>
    <t xml:space="preserve">Weak Areas</t>
  </si>
  <si>
    <t xml:space="preserve">Gaps you discover and the fix plan.</t>
  </si>
  <si>
    <t xml:space="preserve">Weekly Review</t>
  </si>
  <si>
    <t xml:space="preserve">Review every 7th day: learning plus job-search numbers side by side.</t>
  </si>
  <si>
    <t xml:space="preserve">Change Log</t>
  </si>
  <si>
    <t xml:space="preserve">What changed in this upgrade.</t>
  </si>
  <si>
    <t xml:space="preserve">Learning Dashboard: 60-day backend mastery plan</t>
  </si>
  <si>
    <t xml:space="preserve">Learning start date (Day 1)</t>
  </si>
  <si>
    <t xml:space="preserve">Change this once. Every plan date follows it. (Assumption: Day 1 = 16 Oct 2026.)</t>
  </si>
  <si>
    <t xml:space="preserve">Today is plan day</t>
  </si>
  <si>
    <t xml:space="preserve">Plan days completed</t>
  </si>
  <si>
    <t xml:space="preserve">Plan days in progress</t>
  </si>
  <si>
    <t xml:space="preserve">Plan days blocked</t>
  </si>
  <si>
    <t xml:space="preserve">Percent complete</t>
  </si>
  <si>
    <t xml:space="preserve">Days behind schedule</t>
  </si>
  <si>
    <t xml:space="preserve">Average confidence (rated days)</t>
  </si>
  <si>
    <t xml:space="preserve">Curriculum topics completed</t>
  </si>
  <si>
    <t xml:space="preserve">DSA problems logged</t>
  </si>
  <si>
    <t xml:space="preserve">Mock interviews logged</t>
  </si>
  <si>
    <t xml:space="preserve">Open weak areas</t>
  </si>
  <si>
    <t xml:space="preserve">Weighted readiness score</t>
  </si>
  <si>
    <t xml:space="preserve">Interview checkpoint (mid-level roles)</t>
  </si>
  <si>
    <t xml:space="preserve">Senior / higher-paying gate</t>
  </si>
  <si>
    <t xml:space="preserve">Gate rules (my assumptions, editable in the formulas): mid-level = Python, Django, Databases and Communication at level 3 or more. Senior = Python, Django, Databases at level 4 or more, plus DSA and System Design at level 3 or more.</t>
  </si>
  <si>
    <t xml:space="preserve">Phase</t>
  </si>
  <si>
    <t xml:space="preserve">Days</t>
  </si>
  <si>
    <t xml:space="preserve">Completed</t>
  </si>
  <si>
    <t xml:space="preserve">% complete</t>
  </si>
  <si>
    <t xml:space="preserve">P1 Foundations</t>
  </si>
  <si>
    <t xml:space="preserve">P2 Adv Python, Django &amp; DRF</t>
  </si>
  <si>
    <t xml:space="preserve">P3 FastAPI &amp; Backend</t>
  </si>
  <si>
    <t xml:space="preserve">P4 Systems &amp; Docker</t>
  </si>
  <si>
    <t xml:space="preserve">P5 Cloud &amp; Reliability</t>
  </si>
  <si>
    <t xml:space="preserve">P6 Revision &amp; Mocks</t>
  </si>
  <si>
    <t xml:space="preserve">Curriculum module</t>
  </si>
  <si>
    <t xml:space="preserve">Topics</t>
  </si>
  <si>
    <t xml:space="preserve">Average level</t>
  </si>
  <si>
    <t xml:space="preserve">1 Python</t>
  </si>
  <si>
    <t xml:space="preserve">2 Django &amp; DRF</t>
  </si>
  <si>
    <t xml:space="preserve">3 FastAPI</t>
  </si>
  <si>
    <t xml:space="preserve">4 Databases &amp; SQL</t>
  </si>
  <si>
    <t xml:space="preserve">5 Advanced Backend</t>
  </si>
  <si>
    <t xml:space="preserve">6 Docker, Cloud &amp; CI/CD</t>
  </si>
  <si>
    <t xml:space="preserve">7 DSA</t>
  </si>
  <si>
    <t xml:space="preserve">8 System Design</t>
  </si>
  <si>
    <t xml:space="preserve">9 Communication</t>
  </si>
  <si>
    <t xml:space="preserve">Day</t>
  </si>
  <si>
    <t xml:space="preserve">Date</t>
  </si>
  <si>
    <t xml:space="preserve">Subject</t>
  </si>
  <si>
    <t xml:space="preserve">Priority</t>
  </si>
  <si>
    <t xml:space="preserve">Core topic</t>
  </si>
  <si>
    <t xml:space="preserve">Hands-on exercise</t>
  </si>
  <si>
    <t xml:space="preserve">DSA focus</t>
  </si>
  <si>
    <t xml:space="preserve">Design / deploy focus</t>
  </si>
  <si>
    <t xml:space="preserve">Interview &amp; communication</t>
  </si>
  <si>
    <t xml:space="preserve">Est. hrs</t>
  </si>
  <si>
    <t xml:space="preserve">Resource</t>
  </si>
  <si>
    <t xml:space="preserve">Completion criteria</t>
  </si>
  <si>
    <t xml:space="preserve">Status</t>
  </si>
  <si>
    <t xml:space="preserve">Confidence (1-5)</t>
  </si>
  <si>
    <t xml:space="preserve">Completed on</t>
  </si>
  <si>
    <t xml:space="preserve">Next revision</t>
  </si>
  <si>
    <t xml:space="preserve">Assessment result</t>
  </si>
  <si>
    <t xml:space="preserve">Weaknesses discovered</t>
  </si>
  <si>
    <t xml:space="preserve">Notes / evidence</t>
  </si>
  <si>
    <t xml:space="preserve">Assessment</t>
  </si>
  <si>
    <t xml:space="preserve">Essential</t>
  </si>
  <si>
    <t xml:space="preserve">Baseline assessment and environment setup</t>
  </si>
  <si>
    <t xml:space="preserve">Rate yourself 1-5 in every subject (Skill Assessment tab, honestly). Set up Python 3.12 venv, git repo, pytest, Postgres in Docker.</t>
  </si>
  <si>
    <t xml:space="preserve">3 easy problems cold, no hints; note time and where you got stuck</t>
  </si>
  <si>
    <t xml:space="preserve">-</t>
  </si>
  <si>
    <t xml:space="preserve">Write your first 60-90 sec intro draft in your own words and record it</t>
  </si>
  <si>
    <t xml:space="preserve">Skill Assessment + Mock Interviews tabs</t>
  </si>
  <si>
    <t xml:space="preserve">Baseline levels entered for all 9 subjects; 3+ weak areas logged; repo and env run tests</t>
  </si>
  <si>
    <t xml:space="preserve">Not Started</t>
  </si>
  <si>
    <t xml:space="preserve">Python</t>
  </si>
  <si>
    <t xml:space="preserve">Data types, mutability, comprehensions, functions, *args/**kwargs, scope (LEGB), shallow vs deep copy</t>
  </si>
  <si>
    <t xml:space="preserve">Write 10 small functions (default-arg trap, closure counter, copy vs deepcopy); predict output before running</t>
  </si>
  <si>
    <t xml:space="preserve">Arrays and strings: 3 easy</t>
  </si>
  <si>
    <t xml:space="preserve">Answer aloud: mutable vs immutable, LEGB, 'is' vs '==', mutable default args. Speaking: Practise 'tell me about your AG Branch project': problem, role, action, result</t>
  </si>
  <si>
    <t xml:space="preserve">docs.python.org/3/ (official tutorial, data model)</t>
  </si>
  <si>
    <t xml:space="preserve">10 functions written without copying; all 4 interview answers given aloud in under 90 sec each</t>
  </si>
  <si>
    <t xml:space="preserve">OOP 1: classes, instance/class/static methods, inheritance, polymorphism, encapsulation, ABCs</t>
  </si>
  <si>
    <t xml:space="preserve">Model a bank-account system with an abstract base class and 2 subclasses plus tests</t>
  </si>
  <si>
    <t xml:space="preserve">Hash maps: 3 easy (two-sum, anagram, frequency count)</t>
  </si>
  <si>
    <t xml:space="preserve">Answer aloud: composition vs inheritance, ABC, 3 method types. Speaking: Think aloud while solving today's DSA problem (record it)</t>
  </si>
  <si>
    <t xml:space="preserve">Working classes with tests; can explain composition vs inheritance with your own example</t>
  </si>
  <si>
    <t xml:space="preserve">OOP 2: MRO, super(), multiple inheritance, dunder methods, properties, descriptors, dataclasses</t>
  </si>
  <si>
    <t xml:space="preserve">Build a Money class (__eq__, __add__, __repr__, validation property); convert to dataclass; write one custom descriptor</t>
  </si>
  <si>
    <t xml:space="preserve">Two pointers: 3 problems</t>
  </si>
  <si>
    <t xml:space="preserve">Answer aloud: explain MRO with a diamond example. Speaking: Write one STAR story from real work</t>
  </si>
  <si>
    <t xml:space="preserve">Money class passes tests; can draw a diamond MRO and predict super() order</t>
  </si>
  <si>
    <t xml:space="preserve">Exceptions, custom exceptions, file handling, logging, pytest (fixtures, parametrize), mocking</t>
  </si>
  <si>
    <t xml:space="preserve">Custom exception hierarchy, context-managed file processor, pytest tests that mock an external API call</t>
  </si>
  <si>
    <t xml:space="preserve">Sliding window: 2 easy + 1 medium</t>
  </si>
  <si>
    <t xml:space="preserve">Answer aloud: how do you test code that calls external services?. Speaking: Practise 'I don't know X, but here is how I would find out'</t>
  </si>
  <si>
    <t xml:space="preserve">Tests pass with mocks; logging configured; explanation under 90 sec</t>
  </si>
  <si>
    <t xml:space="preserve">Iterators, generators, decorators, closures, context managers</t>
  </si>
  <si>
    <t xml:space="preserve">Write a retry-with-backoff decorator, a generator pipeline for a large file, a timing context manager</t>
  </si>
  <si>
    <t xml:space="preserve">Prefix sums and hashing: 3 problems</t>
  </si>
  <si>
    <t xml:space="preserve">Explain generators and decorators to a junior, 2 min each. Speaking: Practise asking clarifying questions on a vague prompt</t>
  </si>
  <si>
    <t xml:space="preserve">All 3 utilities work with tests; explanation recorded and reviewed</t>
  </si>
  <si>
    <t xml:space="preserve">Review</t>
  </si>
  <si>
    <t xml:space="preserve">Week 1 review and weekly test</t>
  </si>
  <si>
    <t xml:space="preserve">Closed-book test: 20 Python questions; redo your 3 weakest exercises; log gaps in Weak Areas</t>
  </si>
  <si>
    <t xml:space="preserve">Spaced reviews from DSA Log (1-3-7-21 rule)</t>
  </si>
  <si>
    <t xml:space="preserve">Beginner mock round (Python) on the Mock Interviews tab; listen to recordings and note 3 errors</t>
  </si>
  <si>
    <t xml:space="preserve">Weak Areas tab + earlier days' resources</t>
  </si>
  <si>
    <t xml:space="preserve">Test score recorded in Weekly Review; weak areas logged</t>
  </si>
  <si>
    <t xml:space="preserve">Databases</t>
  </si>
  <si>
    <t xml:space="preserve">SQL 1: joins, aggregation, GROUP BY/HAVING, keys, constraints, relationships</t>
  </si>
  <si>
    <t xml:space="preserve">Design an e-commerce schema (users, products, orders, order_items) and write 10 queries</t>
  </si>
  <si>
    <t xml:space="preserve">Stacks and queues: 3 problems</t>
  </si>
  <si>
    <t xml:space="preserve">Schema design: e-commerce</t>
  </si>
  <si>
    <t xml:space="preserve">Answer aloud: INNER vs LEFT join, WHERE vs HAVING, primary vs unique key. Speaking: Re-record your 60-90 sec intro; fix tense errors</t>
  </si>
  <si>
    <t xml:space="preserve">postgresql.org/docs (official) + Curriculum tab</t>
  </si>
  <si>
    <t xml:space="preserve">Schema created in Postgres; 10 queries return correct results</t>
  </si>
  <si>
    <t xml:space="preserve">SQL 2: subqueries, CTEs, set operations, window functions (ROW_NUMBER, RANK, LAG)</t>
  </si>
  <si>
    <t xml:space="preserve">Solve 15 SQL problems incl. top-N per group and running totals</t>
  </si>
  <si>
    <t xml:space="preserve">Linked lists and fast/slow pointers: 3 problems</t>
  </si>
  <si>
    <t xml:space="preserve">Answer aloud: CTE vs subquery, RANK vs ROW_NUMBER. Speaking: Explain today's concept aloud in 2 min, then write 5 clear sentences</t>
  </si>
  <si>
    <t xml:space="preserve">12 of 15 solved independently; can explain each window function</t>
  </si>
  <si>
    <t xml:space="preserve">SQL 3: indexes (B-tree, composite), EXPLAIN ANALYZE, normalization vs denormalization. Phase 1 checkpoint</t>
  </si>
  <si>
    <t xml:space="preserve">Load 1M rows, run a slow query, add an index, compare plans and document the result</t>
  </si>
  <si>
    <t xml:space="preserve">Binary search: 3 problems</t>
  </si>
  <si>
    <t xml:space="preserve">Answer aloud: why is this query slow and how would you fix it? Self-rate Phase 1. Speaking: Practise 'tell me about your AG Branch project': problem, role, action, result</t>
  </si>
  <si>
    <t xml:space="preserve">Before/after plan documented; can explain composite-index column order</t>
  </si>
  <si>
    <t xml:space="preserve">Concurrency: GIL, threading vs multiprocessing, asyncio/await, concurrency vs parallelism</t>
  </si>
  <si>
    <t xml:space="preserve">Run one I/O task and one CPU task with threads, asyncio and multiprocessing; measure and record results</t>
  </si>
  <si>
    <t xml:space="preserve">Recursion: 3 problems</t>
  </si>
  <si>
    <t xml:space="preserve">Answer aloud: when asyncio vs threads vs processes?. Speaking: Think aloud while solving today's DSA problem (record it)</t>
  </si>
  <si>
    <t xml:space="preserve">Measured results in notes; clear 2-min explanation of the GIL</t>
  </si>
  <si>
    <t xml:space="preserve">Django</t>
  </si>
  <si>
    <t xml:space="preserve">Django architecture: project/app layout, request-response lifecycle, URLs, views, middleware, settings, environment config, REST/HTTP semantics</t>
  </si>
  <si>
    <t xml:space="preserve">Create a project with split settings, custom middleware (request ID + timing), env-based secrets</t>
  </si>
  <si>
    <t xml:space="preserve">Sorting and intervals: 3 problems</t>
  </si>
  <si>
    <t xml:space="preserve">Layered structure: views, services, selectors</t>
  </si>
  <si>
    <t xml:space="preserve">Answer aloud: walk through a Django request from URL to response. Speaking: Write one STAR story from real work</t>
  </si>
  <si>
    <t xml:space="preserve">docs.djangoproject.com (official docs)</t>
  </si>
  <si>
    <t xml:space="preserve">Project runs; middleware tested; lifecycle explained without notes</t>
  </si>
  <si>
    <t xml:space="preserve">Django ORM deep dive: lazy QuerySets, managers, F/Q, annotate/aggregate, subqueries, select_related/prefetch_related, N+1</t>
  </si>
  <si>
    <t xml:space="preserve">Build blog/shop models; create an N+1 deliberately, measure query count, fix it</t>
  </si>
  <si>
    <t xml:space="preserve">Tree traversals: 3 problems</t>
  </si>
  <si>
    <t xml:space="preserve">Answer aloud: what is N+1? Are QuerySets lazy? F vs Q?. Speaking: Practise 'I don't know X, but here is how I would find out'</t>
  </si>
  <si>
    <t xml:space="preserve">Query count reduced and documented; 3 answers under 90 sec</t>
  </si>
  <si>
    <t xml:space="preserve">Week 2 review and weekly test</t>
  </si>
  <si>
    <t xml:space="preserve">Closed-book test: concurrency, Django lifecycle, ORM, SQL; redo weakest exercises</t>
  </si>
  <si>
    <t xml:space="preserve">Spaced reviews from DSA Log</t>
  </si>
  <si>
    <t xml:space="preserve">Intermediate mock round (Python/Django) on the Mock Interviews tab</t>
  </si>
  <si>
    <t xml:space="preserve">Test score recorded; weak areas updated</t>
  </si>
  <si>
    <t xml:space="preserve">Day-15 assessment and weak-area fix</t>
  </si>
  <si>
    <t xml:space="preserve">Timed 90-min mixed test (Python, SQL, ORM) + 2 DSA problems + 2-min intro recording. Enter Day 15 levels in Skill Assessment.</t>
  </si>
  <si>
    <t xml:space="preserve">Timed: 2 problems, explain approach before coding</t>
  </si>
  <si>
    <t xml:space="preserve">Compare intro with Day 1 recording; list improvements</t>
  </si>
  <si>
    <t xml:space="preserve">Day 15 levels entered; priorities for next 2 weeks adjusted; weak areas logged</t>
  </si>
  <si>
    <t xml:space="preserve">Models, relationships, migrations, transactions (atomic, select_for_update), signals and their pitfalls</t>
  </si>
  <si>
    <t xml:space="preserve">Booking endpoint with atomic + select_for_update; reproduce a race with threads; write a data migration (Project 1)</t>
  </si>
  <si>
    <t xml:space="preserve">BST: 3 problems</t>
  </si>
  <si>
    <t xml:space="preserve">Optimistic vs pessimistic locking</t>
  </si>
  <si>
    <t xml:space="preserve">Answer aloud: how do you prevent double-booking? Signals: when not to use them?. Speaking: Re-record your 60-90 sec intro; fix tense errors</t>
  </si>
  <si>
    <t xml:space="preserve">Race test fails without lock and passes with it; migration reversible</t>
  </si>
  <si>
    <t xml:space="preserve">Auth: sessions, custom user model, groups/permissions, Django admin, caching, pagination and filtering</t>
  </si>
  <si>
    <t xml:space="preserve">Custom user model, role permissions, admin customization, per-view cache (Project 1)</t>
  </si>
  <si>
    <t xml:space="preserve">Heaps and top-K: 3 problems</t>
  </si>
  <si>
    <t xml:space="preserve">Answer aloud: authentication vs authorization; cache invalidation basics. Speaking: Explain today's concept aloud in 2 min, then write 5 clear sentences</t>
  </si>
  <si>
    <t xml:space="preserve">Roles enforced by tests; admin customised; cache hit proven in logs</t>
  </si>
  <si>
    <t xml:space="preserve">DRF</t>
  </si>
  <si>
    <t xml:space="preserve">DRF core: serializers (validation, nested), APIView, generic views, viewsets, routers</t>
  </si>
  <si>
    <t xml:space="preserve">Project 1 M1-M2: models + CRUD API with serializers and viewsets</t>
  </si>
  <si>
    <t xml:space="preserve">BFS: 3 problems</t>
  </si>
  <si>
    <t xml:space="preserve">Answer aloud: serializer vs ModelSerializer; ViewSet vs APIView. Speaking: Practise 'tell me about your AG Branch project': problem, role, action, result</t>
  </si>
  <si>
    <t xml:space="preserve">django-rest-framework.org (official docs)</t>
  </si>
  <si>
    <t xml:space="preserve">CRUD endpoints work; validation errors correct; explanation recorded</t>
  </si>
  <si>
    <t xml:space="preserve">DRF: JWT auth, permissions, throttling, versioning, exception handling, OpenAPI docs</t>
  </si>
  <si>
    <t xml:space="preserve">Project 1 M3: JWT, role permissions, custom exception handler, OpenAPI schema</t>
  </si>
  <si>
    <t xml:space="preserve">DFS: 3 problems</t>
  </si>
  <si>
    <t xml:space="preserve">Answer aloud: how does JWT work? Refresh vs access token?. Speaking: Think aloud while solving today's DSA problem (record it)</t>
  </si>
  <si>
    <t xml:space="preserve">Auth tests pass; consistent error format; OpenAPI page loads</t>
  </si>
  <si>
    <t xml:space="preserve">DRF testing, security (CSRF, CORS, SQL injection), performance, ASGI vs WSGI. Optional: Channels/WebSockets intro</t>
  </si>
  <si>
    <t xml:space="preserve">Project 1 M4-M5: tests on critical paths, N+1 fixes, security checklist, README. Optional: Channels echo consumer</t>
  </si>
  <si>
    <t xml:space="preserve">Graph cycle detection / topological sort: 2 problems</t>
  </si>
  <si>
    <t xml:space="preserve">Answer aloud: ASGI vs WSGI; how do you secure a Django API?. Speaking: Write one STAR story from real work</t>
  </si>
  <si>
    <t xml:space="preserve">Project 1 passes tests and CODE REVIEW checklist; README lets a stranger run it</t>
  </si>
  <si>
    <t xml:space="preserve">Week 3 review and weekly test</t>
  </si>
  <si>
    <t xml:space="preserve">Closed-book test: models, transactions, DRF, auth; redo weakest items; demo Project 1 aloud (5 min)</t>
  </si>
  <si>
    <t xml:space="preserve">Project 1 walkthrough recorded, used later as a project story</t>
  </si>
  <si>
    <t xml:space="preserve">Test score recorded; Project 1 demo recorded</t>
  </si>
  <si>
    <t xml:space="preserve">FastAPI</t>
  </si>
  <si>
    <t xml:space="preserve">FastAPI 1: ASGI, routing, path/query/body params, Pydantic models, response models</t>
  </si>
  <si>
    <t xml:space="preserve">Project A M1: Task Management API skeleton with request/response schemas</t>
  </si>
  <si>
    <t xml:space="preserve">Backtracking: 3 problems</t>
  </si>
  <si>
    <t xml:space="preserve">Answer aloud: FastAPI vs DRF; how does validation work?. Speaking: Practise asking clarifying questions on a vague prompt</t>
  </si>
  <si>
    <t xml:space="preserve">fastapi.tiangolo.com (official tutorial)</t>
  </si>
  <si>
    <t xml:space="preserve">Endpoints documented in /docs; validation errors verified</t>
  </si>
  <si>
    <t xml:space="preserve">FastAPI 2: dependency injection and overrides, OAuth2 password flow, JWT, role-based authorization</t>
  </si>
  <si>
    <t xml:space="preserve">Project A M2: auth and roles through dependencies</t>
  </si>
  <si>
    <t xml:space="preserve">Union-find: 2 problems</t>
  </si>
  <si>
    <t xml:space="preserve">Answer aloud: what is dependency injection in FastAPI and why is it useful?. Speaking: Review your last recording: list 3 grammar slips and 3 vocabulary upgrades</t>
  </si>
  <si>
    <t xml:space="preserve">Protected routes tested for each role</t>
  </si>
  <si>
    <t xml:space="preserve">FastAPI 3: SQLAlchemy 2.0 + Alembic, sessions, transactions, sync vs async endpoints, pagination and filtering</t>
  </si>
  <si>
    <t xml:space="preserve">Project A M3: PostgreSQL models, migrations, pagination/filter</t>
  </si>
  <si>
    <t xml:space="preserve">Tries: 2 problems</t>
  </si>
  <si>
    <t xml:space="preserve">Answer aloud: sync vs async endpoint; session lifecycle per request. Speaking: Re-record your 60-90 sec intro; fix tense errors</t>
  </si>
  <si>
    <t xml:space="preserve">Migrations apply cleanly; pagination and filters tested</t>
  </si>
  <si>
    <t xml:space="preserve">FastAPI 4: pytest and TestClient, overrides, pydantic-settings config, middleware, exception handlers, background tasks and their limits, Docker</t>
  </si>
  <si>
    <t xml:space="preserve">Project A M4-M5: tests, Dockerfile, docs; write DRF-vs-FastAPI comparison notes</t>
  </si>
  <si>
    <t xml:space="preserve">Greedy: 3 problems</t>
  </si>
  <si>
    <t xml:space="preserve">Answer aloud: when would you pick FastAPI over Django?. Speaking: Explain today's concept aloud in 2 min, then write 5 clear sentences</t>
  </si>
  <si>
    <t xml:space="preserve">Project A passes tests and CODE REVIEW checklist; container runs</t>
  </si>
  <si>
    <t xml:space="preserve">Backend</t>
  </si>
  <si>
    <t xml:space="preserve">Redis and caching: data structures, cache-aside/write-through/write-behind, TTL, eviction, stampedes, rate limiting</t>
  </si>
  <si>
    <t xml:space="preserve">Add cache-aside with invalidation to a Project A endpoint; implement a token-bucket rate limiter in Redis</t>
  </si>
  <si>
    <t xml:space="preserve">DP 1D: 3 problems</t>
  </si>
  <si>
    <t xml:space="preserve">Answer aloud: cache-aside vs write-through; what is a cache stampede?. Speaking: Practise 'tell me about your AG Branch project': problem, role, action, result</t>
  </si>
  <si>
    <t xml:space="preserve">redis.io/docs (official); docs.celeryq.dev (Celery official)</t>
  </si>
  <si>
    <t xml:space="preserve">Cache hit/miss visible in logs; rate limiter tested</t>
  </si>
  <si>
    <t xml:space="preserve">Celery and messaging: workers, brokers, retries, backoff, idempotency, dead-letter queues, at-least-once delivery, periodic tasks, Redis vs RabbitMQ</t>
  </si>
  <si>
    <t xml:space="preserve">Add a Celery task to Project 1 (booking reminder) with retries and an idempotency key</t>
  </si>
  <si>
    <t xml:space="preserve">DP 2D basics: 2 problems</t>
  </si>
  <si>
    <t xml:space="preserve">Answer aloud: what happens if a task runs twice? How do you make it idempotent?. Speaking: Think aloud while solving today's DSA problem (record it)</t>
  </si>
  <si>
    <t xml:space="preserve">Task retried and deduplicated in a test</t>
  </si>
  <si>
    <t xml:space="preserve">Week 4 review and weekly test</t>
  </si>
  <si>
    <t xml:space="preserve">Closed-book test: FastAPI, Redis, Celery; redo weakest items; refactor one thing flagged by the CODE REVIEW checklist</t>
  </si>
  <si>
    <t xml:space="preserve">Intermediate mock round (backend concepts)</t>
  </si>
  <si>
    <t xml:space="preserve">Test score recorded; refactor committed</t>
  </si>
  <si>
    <t xml:space="preserve">Projects</t>
  </si>
  <si>
    <t xml:space="preserve">Important</t>
  </si>
  <si>
    <t xml:space="preserve">Project B: async FastAPI service with external API integration, caching, background jobs, transactions, structured logging, error handling</t>
  </si>
  <si>
    <t xml:space="preserve">Project B M1-M3 (see Projects tab)</t>
  </si>
  <si>
    <t xml:space="preserve">Mixed medium: 2 problems timed</t>
  </si>
  <si>
    <t xml:space="preserve">Prepare 2-min Project B pitch: problem, design, trade-offs. Speaking: Practise 'I don't know X, but here is how I would find out'</t>
  </si>
  <si>
    <t xml:space="preserve">External API client with timeout and retry; cached; job processes in background</t>
  </si>
  <si>
    <t xml:space="preserve">Day-30 assessment, mock interview 1 and interview checkpoint</t>
  </si>
  <si>
    <t xml:space="preserve">Timed 2-hour mixed assessment + full mock (Python/Django, SQL, one DSA problem). Enter Day 30 levels.</t>
  </si>
  <si>
    <t xml:space="preserve">Timed: 1 medium problem, think aloud</t>
  </si>
  <si>
    <t xml:space="preserve">Compare to baseline; decide using the Dashboard checkpoint whether to start accepting suitable interviews</t>
  </si>
  <si>
    <t xml:space="preserve">Day 30 levels entered; mock 1 logged; interview decision recorded in Weekly Review</t>
  </si>
  <si>
    <t xml:space="preserve">DevOps</t>
  </si>
  <si>
    <t xml:space="preserve">Linux and networking: commands, permissions, processes, ports, DNS, HTTP/HTTPS, TCP/IP, TLS, reverse proxy and load balancer concepts, logs</t>
  </si>
  <si>
    <t xml:space="preserve">On Linux/WSL inspect processes and ports, use curl -v and dig, read logs; trace what happens when you open a URL</t>
  </si>
  <si>
    <t xml:space="preserve">Spaced reviews: 3 problems</t>
  </si>
  <si>
    <t xml:space="preserve">What happens when you type a URL (explain aloud)</t>
  </si>
  <si>
    <t xml:space="preserve">Answer aloud: HTTP vs HTTPS, what does DNS do, what is a reverse proxy?. Speaking: Review your last recording: list 3 grammar slips and 3 vocabulary upgrades</t>
  </si>
  <si>
    <t xml:space="preserve">docs.docker.com (official docs)</t>
  </si>
  <si>
    <t xml:space="preserve">Can explain the URL journey in 3 min without notes</t>
  </si>
  <si>
    <t xml:space="preserve">System Design</t>
  </si>
  <si>
    <t xml:space="preserve">System design foundations: requirements, capacity estimation, latency/throughput/availability, API and data model, caching, queues, load balancers, replication</t>
  </si>
  <si>
    <t xml:space="preserve">Estimate capacity for a URL shortener on paper; write your 9-step design template</t>
  </si>
  <si>
    <t xml:space="preserve">Pattern drill: 3 problems</t>
  </si>
  <si>
    <t xml:space="preserve">9-step design framework</t>
  </si>
  <si>
    <t xml:space="preserve">Practise clarifying-question scripts on a vague prompt. Speaking: Re-record your 60-90 sec intro; fix tense errors</t>
  </si>
  <si>
    <t xml:space="preserve">Your 9-step design template; Curriculum tab</t>
  </si>
  <si>
    <t xml:space="preserve">Template written; estimate is reasonable and explained</t>
  </si>
  <si>
    <t xml:space="preserve">Docker: images, layers, Dockerfile, multi-stage builds, volumes, networks, Compose, health checks, secrets</t>
  </si>
  <si>
    <t xml:space="preserve">Containerize Project 1 with Postgres and Redis in Compose; multi-stage build; healthcheck</t>
  </si>
  <si>
    <t xml:space="preserve">Answer aloud: image vs container; layers; why multi-stage?. Speaking: Explain today's concept aloud in 2 min, then write 5 clear sentences</t>
  </si>
  <si>
    <t xml:space="preserve">docker compose up runs the stack; image size recorded before/after</t>
  </si>
  <si>
    <t xml:space="preserve">Production containers: gunicorn/uvicorn workers, Nginx reverse proxy, non-root user, env config</t>
  </si>
  <si>
    <t xml:space="preserve">Nginx in front of the app in Compose; compare image sizes; run as non-root</t>
  </si>
  <si>
    <t xml:space="preserve">Answer aloud: why use Nginx in front of gunicorn?. Speaking: Practise 'tell me about your AG Branch project': problem, role, action, result</t>
  </si>
  <si>
    <t xml:space="preserve">Requests served through Nginx; no secrets baked into the image</t>
  </si>
  <si>
    <t xml:space="preserve">Week 5 review and weekly test</t>
  </si>
  <si>
    <t xml:space="preserve">Closed-book test: Linux/networking/Docker/system design basics; redo weakest</t>
  </si>
  <si>
    <t xml:space="preserve">Intermediate mock round (Docker + design basics)</t>
  </si>
  <si>
    <t xml:space="preserve">Test score recorded</t>
  </si>
  <si>
    <t xml:space="preserve">Design exercise 1: URL shortener and rate limiter</t>
  </si>
  <si>
    <t xml:space="preserve">Full 9-step design written, then spoken in 45 minutes and recorded</t>
  </si>
  <si>
    <t xml:space="preserve">Pattern drill: 2 problems</t>
  </si>
  <si>
    <t xml:space="preserve">URL shortener, rate limiter</t>
  </si>
  <si>
    <t xml:space="preserve">Explain design decisions and trade-offs aloud. Speaking: Write one STAR story from real work</t>
  </si>
  <si>
    <t xml:space="preserve">Both designs cover APIs, data model, bottlenecks, failures; recording reviewed</t>
  </si>
  <si>
    <t xml:space="preserve">Database scaling: replication, read replicas, partitioning, sharding, connection pooling, backups, SQL vs NoSQL, eventual consistency</t>
  </si>
  <si>
    <t xml:space="preserve">Write comparison notes and a read-replica routing sketch for Django</t>
  </si>
  <si>
    <t xml:space="preserve">DB scaling choices</t>
  </si>
  <si>
    <t xml:space="preserve">Answer aloud: when would you shard? Replica lag problems?. Speaking: Practise 'I don't know X, but here is how I would find out'</t>
  </si>
  <si>
    <t xml:space="preserve">Notes include a trade-off table; can answer both questions</t>
  </si>
  <si>
    <t xml:space="preserve">Git workflows and CI: GitHub Actions for lint, tests, image build</t>
  </si>
  <si>
    <t xml:space="preserve">CI pipeline for Project 1: lint, pytest, docker build on every push</t>
  </si>
  <si>
    <t xml:space="preserve">CI stages</t>
  </si>
  <si>
    <t xml:space="preserve">Answer aloud: what does your CI do? Branching strategy?. Speaking: Practise asking clarifying questions on a vague prompt</t>
  </si>
  <si>
    <t xml:space="preserve">Pipeline green on a fresh push; failing test blocks merge</t>
  </si>
  <si>
    <t xml:space="preserve">Design exercise 2: notification service and background job processing</t>
  </si>
  <si>
    <t xml:space="preserve">9-step design incl. retries, DLQ, idempotency</t>
  </si>
  <si>
    <t xml:space="preserve">Notification service, job queue</t>
  </si>
  <si>
    <t xml:space="preserve">Explain trade-offs aloud, 10 min. Speaking: Review your last recording: list 3 grammar slips and 3 vocabulary upgrades</t>
  </si>
  <si>
    <t xml:space="preserve">Designs reviewed against checklist; failure scenarios listed</t>
  </si>
  <si>
    <t xml:space="preserve">Checkpoint</t>
  </si>
  <si>
    <t xml:space="preserve">DSA checkpoint and integrated backend scenarios</t>
  </si>
  <si>
    <t xml:space="preserve">Timed: 3 medium problems explained aloud; debug a slow-endpoint scenario end to end</t>
  </si>
  <si>
    <t xml:space="preserve">3 mixed medium timed</t>
  </si>
  <si>
    <t xml:space="preserve">Think aloud on every problem, then review the recording. Speaking: Re-record your 60-90 sec intro; fix tense errors</t>
  </si>
  <si>
    <t xml:space="preserve">Your DSA Log + a problem set you choose; Curriculum tab</t>
  </si>
  <si>
    <t xml:space="preserve">Approach, edge cases, complexity stated for each before checking solutions</t>
  </si>
  <si>
    <t xml:space="preserve">Cloud</t>
  </si>
  <si>
    <t xml:space="preserve">Cloud foundations: shared responsibility, compute/network/storage/IAM/managed DB, VPC, security groups, load balancers, autoscaling, monitoring; choose one primary cloud and map to the others</t>
  </si>
  <si>
    <t xml:space="preserve">Make a service-mapping table (AWS/GCP/Azure). Set a billing alert BEFORE creating anything.</t>
  </si>
  <si>
    <t xml:space="preserve">Cloud building blocks</t>
  </si>
  <si>
    <t xml:space="preserve">Answer aloud: IAM least privilege; VPC vs security group. Speaking: Explain today's concept aloud in 2 min, then write 5 clear sentences</t>
  </si>
  <si>
    <t xml:space="preserve">docs.aws.amazon.com (official; AWS provisional, confirm vs job ads)</t>
  </si>
  <si>
    <t xml:space="preserve">Mapping table complete; budget alert exists</t>
  </si>
  <si>
    <t xml:space="preserve">Week 6 review and weekly test</t>
  </si>
  <si>
    <t xml:space="preserve">Closed-book test: cloud, DB scaling, CI, design exercises; redo weakest</t>
  </si>
  <si>
    <t xml:space="preserve">Intermediate mock round (cloud + design)</t>
  </si>
  <si>
    <t xml:space="preserve">Cloud hands-on 1 (free tier): IAM least privilege, object storage with pre-signed URLs, budgets and alerts, cost and cleanup</t>
  </si>
  <si>
    <t xml:space="preserve">Create a non-root IAM user, budget alert, storage bucket with pre-signed URL from the app, and a written cleanup checklist</t>
  </si>
  <si>
    <t xml:space="preserve">Cost and cleanup plan</t>
  </si>
  <si>
    <t xml:space="preserve">Explain what could cost money and how you prevent it. Speaking: Think aloud while solving today's DSA problem (record it)</t>
  </si>
  <si>
    <t xml:space="preserve">Cleanup checklist done; no running billable resources left</t>
  </si>
  <si>
    <t xml:space="preserve">Deploy one project to a public URL (cost-safe)</t>
  </si>
  <si>
    <t xml:space="preserve">Confirm cost, free-tier limits and teardown plan BEFORE deploying. Deploy with Docker, HTTPS, env secrets, health check.</t>
  </si>
  <si>
    <t xml:space="preserve">Deployment architecture</t>
  </si>
  <si>
    <t xml:space="preserve">Explain your deployment to a non-expert in 3 min. Speaking: Write one STAR story from real work</t>
  </si>
  <si>
    <t xml:space="preserve">Public URL works; secrets not in the repo; teardown plan written</t>
  </si>
  <si>
    <t xml:space="preserve">Day-45 assessment and mock interview 2</t>
  </si>
  <si>
    <t xml:space="preserve">Timed mixed assessment (2.5 hrs) + full mock incl. system design. Enter Day 45 levels.</t>
  </si>
  <si>
    <t xml:space="preserve">Timed: 2 problems</t>
  </si>
  <si>
    <t xml:space="preserve">One design problem, 35 min</t>
  </si>
  <si>
    <t xml:space="preserve">Compare with Day 30; identify last 15 days' focus</t>
  </si>
  <si>
    <t xml:space="preserve">Day 45 levels entered; weak areas updated; mock 2 logged</t>
  </si>
  <si>
    <t xml:space="preserve">CI/CD to deployment: build, test, push image, deploy, migrations during deploy, rollback, blue-green and rolling basics</t>
  </si>
  <si>
    <t xml:space="preserve">Extend CI to deploy; practise a rollback</t>
  </si>
  <si>
    <t xml:space="preserve">Deployment strategies</t>
  </si>
  <si>
    <t xml:space="preserve">Answer aloud: how do you run migrations safely during deploy?. Speaking: Practise asking clarifying questions on a vague prompt</t>
  </si>
  <si>
    <t xml:space="preserve">Deploy and rollback each demonstrated once</t>
  </si>
  <si>
    <t xml:space="preserve">Reliability: timeouts, retries, circuit breakers, bulkheads, graceful degradation, idempotent APIs, distributed locks, outbox, saga, monolith vs microservices</t>
  </si>
  <si>
    <t xml:space="preserve">Add timeout + retry + circuit breaker to Project B's external call; write an outbox-pattern design note</t>
  </si>
  <si>
    <t xml:space="preserve">Failure handling</t>
  </si>
  <si>
    <t xml:space="preserve">Answer aloud: what happens when a downstream service is slow?. Speaking: Review your last recording: list 3 grammar slips and 3 vocabulary upgrades</t>
  </si>
  <si>
    <t xml:space="preserve">Failure injected and handled in a test</t>
  </si>
  <si>
    <t xml:space="preserve">Observability: structured logs, metrics, traces, alerts, health and readiness endpoints</t>
  </si>
  <si>
    <t xml:space="preserve">Add JSON logging, request IDs, /health and /ready, basic metrics</t>
  </si>
  <si>
    <t xml:space="preserve">Observability stack</t>
  </si>
  <si>
    <t xml:space="preserve">Answer aloud: logs vs metrics vs traces. Speaking: Re-record your 60-90 sec intro; fix tense errors</t>
  </si>
  <si>
    <t xml:space="preserve">Request ID appears in every log line; health endpoints tested</t>
  </si>
  <si>
    <t xml:space="preserve">Week 7 review and weekly test</t>
  </si>
  <si>
    <t xml:space="preserve">Closed-book test: reliability, CI/CD, observability, cloud; redo weakest</t>
  </si>
  <si>
    <t xml:space="preserve">Intermediate mock round (reliability scenarios)</t>
  </si>
  <si>
    <t xml:space="preserve">Integrated project day: deployment docs, README, architecture decision records. Design exercise 3: e-commerce backend</t>
  </si>
  <si>
    <t xml:space="preserve">Finish docs so a stranger can run and deploy; 9-step e-commerce design</t>
  </si>
  <si>
    <t xml:space="preserve">E-commerce backend</t>
  </si>
  <si>
    <t xml:space="preserve">Rehearse a 3-min project walkthrough. Speaking: Practise 'tell me about your AG Branch project': problem, role, action, result</t>
  </si>
  <si>
    <t xml:space="preserve">README and ADRs reviewed against checklist</t>
  </si>
  <si>
    <t xml:space="preserve">Design exercise 4: chat service and booking system</t>
  </si>
  <si>
    <t xml:space="preserve">Two 9-step designs; focus on concurrency, double-booking, ordering</t>
  </si>
  <si>
    <t xml:space="preserve">Chat, booking</t>
  </si>
  <si>
    <t xml:space="preserve">Explain trade-offs aloud, 10 min each. Speaking: Think aloud while solving today's DSA problem (record it)</t>
  </si>
  <si>
    <t xml:space="preserve">Both designs recorded and reviewed</t>
  </si>
  <si>
    <t xml:space="preserve">Remediation</t>
  </si>
  <si>
    <t xml:space="preserve">Weak-area remediation 1: Python and Django</t>
  </si>
  <si>
    <t xml:space="preserve">Redo the weakest exercises from Weak Areas; write 10 new interview answers</t>
  </si>
  <si>
    <t xml:space="preserve">Weak DSA patterns: 3 problems</t>
  </si>
  <si>
    <t xml:space="preserve">Answer the 10 questions aloud. Speaking: Write one STAR story from real work</t>
  </si>
  <si>
    <t xml:space="preserve">Weak items re-rated; improvement shown by a retest</t>
  </si>
  <si>
    <t xml:space="preserve">Weak-area remediation 2: SQL, databases and backend</t>
  </si>
  <si>
    <t xml:space="preserve">Retest SQL and ORM weak spots; one new query-optimisation exercise</t>
  </si>
  <si>
    <t xml:space="preserve">Answer 10 questions aloud. Speaking: Practise 'I don't know X, but here is how I would find out'</t>
  </si>
  <si>
    <t xml:space="preserve">DSA</t>
  </si>
  <si>
    <t xml:space="preserve">DSA weak patterns and timed mock</t>
  </si>
  <si>
    <t xml:space="preserve">Timed: 3 problems across your 3 weakest patterns, explained aloud</t>
  </si>
  <si>
    <t xml:space="preserve">3 timed problems</t>
  </si>
  <si>
    <t xml:space="preserve">Think aloud; review recording. Speaking: Practise asking clarifying questions on a vague prompt</t>
  </si>
  <si>
    <t xml:space="preserve">Each problem has approach, edge cases, complexity before the solution</t>
  </si>
  <si>
    <t xml:space="preserve">Mock</t>
  </si>
  <si>
    <t xml:space="preserve">Mock interview 3: Python/Django + SQL + coding</t>
  </si>
  <si>
    <t xml:space="preserve">Full 90-min mock; log everything on the Mock Interviews tab</t>
  </si>
  <si>
    <t xml:space="preserve">1 medium timed</t>
  </si>
  <si>
    <t xml:space="preserve">Evaluate honestly; write improved answers</t>
  </si>
  <si>
    <t xml:space="preserve">Mock logged with evaluation, missed concepts, improved answers</t>
  </si>
  <si>
    <t xml:space="preserve">Week 8 review and weekly test</t>
  </si>
  <si>
    <t xml:space="preserve">Closed-book test across all modules; update Weak Areas</t>
  </si>
  <si>
    <t xml:space="preserve">Behavioural questions practice</t>
  </si>
  <si>
    <t xml:space="preserve">Mock interview 4: system design, behavioural and project deep-dive</t>
  </si>
  <si>
    <t xml:space="preserve">Full 90-min mock; log everything</t>
  </si>
  <si>
    <t xml:space="preserve">STAR answers for 4 behavioural questions</t>
  </si>
  <si>
    <t xml:space="preserve">Mock logged; STAR answers improved after review</t>
  </si>
  <si>
    <t xml:space="preserve">Communication</t>
  </si>
  <si>
    <t xml:space="preserve">Project stories, CV and portfolio update, English polish</t>
  </si>
  <si>
    <t xml:space="preserve">Write 4 STAR stories from real work (no invented metrics). Update CV, LinkedIn, GitHub READMEs.</t>
  </si>
  <si>
    <t xml:space="preserve">Spaced reviews: 2 problems</t>
  </si>
  <si>
    <t xml:space="preserve">Record each story; fix tenses and vocabulary; re-record. Speaking: Practise 'tell me about your AG Branch project': problem, role, action, result</t>
  </si>
  <si>
    <t xml:space="preserve">4 stories written and recorded; CV/LinkedIn/GitHub updated</t>
  </si>
  <si>
    <t xml:space="preserve">Final full mock loop: 3 rounds back-to-back</t>
  </si>
  <si>
    <t xml:space="preserve">Python/Django + DSA, SQL + backend, system design + behavioural in one sitting</t>
  </si>
  <si>
    <t xml:space="preserve">1 timed medium</t>
  </si>
  <si>
    <t xml:space="preserve">One design problem</t>
  </si>
  <si>
    <t xml:space="preserve">Treat it as a real interview</t>
  </si>
  <si>
    <t xml:space="preserve">All rounds logged with evaluation and improved answers</t>
  </si>
  <si>
    <t xml:space="preserve">Day-60 final assessment, readiness report and next-30-day plan</t>
  </si>
  <si>
    <t xml:space="preserve">Timed final assessment. Enter Day 60 levels. Write a one-page readiness report: levels with evidence, roles ready for, top 3 gaps.</t>
  </si>
  <si>
    <t xml:space="preserve">Compare intro with Day 1 recording</t>
  </si>
  <si>
    <t xml:space="preserve">Day 60 levels entered; readiness report written from evidence only</t>
  </si>
  <si>
    <t xml:space="preserve">Rules: never mark Completed until the Completion criteria are met with evidence (code, tests, a solved problem, a recorded explanation). Next revision = completed date + 3 days (DSA problems use 1-3-7-21 on the DSA Log tab). Missed days: see Daily Schedule tab.</t>
  </si>
  <si>
    <t xml:space="preserve">60-Day plan days covered</t>
  </si>
  <si>
    <t xml:space="preserve">Topics (essentials only)</t>
  </si>
  <si>
    <t xml:space="preserve">Depth target</t>
  </si>
  <si>
    <t xml:space="preserve">Weaknesses / notes</t>
  </si>
  <si>
    <t xml:space="preserve">Days 1-2</t>
  </si>
  <si>
    <t xml:space="preserve">Concept + interview-level explanation. Implement only the core exercise; skip Optional items and project polish.</t>
  </si>
  <si>
    <t xml:space="preserve">Days 3-4</t>
  </si>
  <si>
    <t xml:space="preserve">Days 5-6</t>
  </si>
  <si>
    <t xml:space="preserve">Days 7-8</t>
  </si>
  <si>
    <t xml:space="preserve">Days 9-10</t>
  </si>
  <si>
    <t xml:space="preserve">Days 11-12</t>
  </si>
  <si>
    <t xml:space="preserve">Days 13-14</t>
  </si>
  <si>
    <t xml:space="preserve">Days 15-16</t>
  </si>
  <si>
    <t xml:space="preserve">Days 17-18</t>
  </si>
  <si>
    <t xml:space="preserve">Days 19-20</t>
  </si>
  <si>
    <t xml:space="preserve">Days 21-22</t>
  </si>
  <si>
    <t xml:space="preserve">Days 23-24</t>
  </si>
  <si>
    <t xml:space="preserve">Days 25-26</t>
  </si>
  <si>
    <t xml:space="preserve">Days 27-28</t>
  </si>
  <si>
    <t xml:space="preserve">Days 29-30</t>
  </si>
  <si>
    <t xml:space="preserve">Days 31-32</t>
  </si>
  <si>
    <t xml:space="preserve">Days 33-34</t>
  </si>
  <si>
    <t xml:space="preserve">Days 35-36</t>
  </si>
  <si>
    <t xml:space="preserve">Days 37-38</t>
  </si>
  <si>
    <t xml:space="preserve">Days 39-40</t>
  </si>
  <si>
    <t xml:space="preserve">Days 41-42</t>
  </si>
  <si>
    <t xml:space="preserve">Days 43-44</t>
  </si>
  <si>
    <t xml:space="preserve">Days 45-46</t>
  </si>
  <si>
    <t xml:space="preserve">Days 47-48</t>
  </si>
  <si>
    <t xml:space="preserve">Days 49-50</t>
  </si>
  <si>
    <t xml:space="preserve">Days 51-52</t>
  </si>
  <si>
    <t xml:space="preserve">Days 53-54</t>
  </si>
  <si>
    <t xml:space="preserve">Days 55-56</t>
  </si>
  <si>
    <t xml:space="preserve">Days 57-58</t>
  </si>
  <si>
    <t xml:space="preserve">Days 59-60</t>
  </si>
  <si>
    <t xml:space="preserve">Use this INSTEAD of the 60-Day Plan only if you must. It covers two plan-days per day at conceptual and interview depth, so it reaches Level 3 (not Level 4) in most subjects. Use the 60-Day Plan's exercises for the detail of each pair. Do not mix both plans' statuses.</t>
  </si>
  <si>
    <t xml:space="preserve">Daily schedule, fallbacks and recovery rules</t>
  </si>
  <si>
    <t xml:space="preserve">Minutes are targets, not rules. Edit the yellow cells to fit your family routine.</t>
  </si>
  <si>
    <t xml:space="preserve">Block (normal day, about 6 hrs)</t>
  </si>
  <si>
    <t xml:space="preserve">Minutes</t>
  </si>
  <si>
    <t xml:space="preserve">Suggested time</t>
  </si>
  <si>
    <t xml:space="preserve">What to do</t>
  </si>
  <si>
    <t xml:space="preserve">Fallback (3 hrs) min</t>
  </si>
  <si>
    <t xml:space="preserve">Core concept (Python/Django/DB/backend)</t>
  </si>
  <si>
    <t xml:space="preserve">09:00</t>
  </si>
  <si>
    <t xml:space="preserve">Read official docs or notes, then explain in your own words before coding</t>
  </si>
  <si>
    <t xml:space="preserve">DSA / problem solving</t>
  </si>
  <si>
    <t xml:space="preserve">10:45</t>
  </si>
  <si>
    <t xml:space="preserve">Attempt first, explain approach, edge cases, complexity BEFORE checking solution</t>
  </si>
  <si>
    <t xml:space="preserve">Hands-on coding / project</t>
  </si>
  <si>
    <t xml:space="preserve">12:00</t>
  </si>
  <si>
    <t xml:space="preserve">Build or extend the project milestone for the day</t>
  </si>
  <si>
    <t xml:space="preserve">Design or deployment</t>
  </si>
  <si>
    <t xml:space="preserve">15:00</t>
  </si>
  <si>
    <t xml:space="preserve">System design exercise or Docker/cloud task (see plan column)</t>
  </si>
  <si>
    <t xml:space="preserve">Communication / interview practice</t>
  </si>
  <si>
    <t xml:space="preserve">16:00</t>
  </si>
  <si>
    <t xml:space="preserve">Speak aloud, record, review one recording</t>
  </si>
  <si>
    <t xml:space="preserve">Revision and active recall</t>
  </si>
  <si>
    <t xml:space="preserve">16:45</t>
  </si>
  <si>
    <t xml:space="preserve">Close the notes and answer yesterday's questions; log mistakes</t>
  </si>
  <si>
    <t xml:space="preserve">Job search window</t>
  </si>
  <si>
    <t xml:space="preserve">17:30</t>
  </si>
  <si>
    <t xml:space="preserve">About 5 quality outreach messages, 2 relevant applications, 3 follow-ups</t>
  </si>
  <si>
    <t xml:space="preserve">Total minutes</t>
  </si>
  <si>
    <t xml:space="preserve">Total hours</t>
  </si>
  <si>
    <t xml:space="preserve">Add 10-minute breaks between blocks and one real break for family. Stop when blocks are done. Sleep and rest are part of the plan.</t>
  </si>
  <si>
    <t xml:space="preserve">Low-energy day (minimum viable, about 90 min)</t>
  </si>
  <si>
    <t xml:space="preserve">What counts</t>
  </si>
  <si>
    <t xml:space="preserve">Core topic: read + write 5 bullet notes</t>
  </si>
  <si>
    <t xml:space="preserve">Just understanding, no pressure to finish exercises</t>
  </si>
  <si>
    <t xml:space="preserve">1 easy DSA problem OR review one old one</t>
  </si>
  <si>
    <t xml:space="preserve">Explain it aloud in 2 minutes</t>
  </si>
  <si>
    <t xml:space="preserve">Active recall: 5 questions</t>
  </si>
  <si>
    <t xml:space="preserve">From yesterday's topic, no notes</t>
  </si>
  <si>
    <t xml:space="preserve">Job follow-ups</t>
  </si>
  <si>
    <t xml:space="preserve">Follow up on 3-5 existing leads, nothing new</t>
  </si>
  <si>
    <t xml:space="preserve">A minimum day is a SUCCESSFUL day. Mark the plan row 'In Progress', never failed.</t>
  </si>
  <si>
    <t xml:space="preserve">Recovery and adjustment rules</t>
  </si>
  <si>
    <t xml:space="preserve">Rule</t>
  </si>
  <si>
    <t xml:space="preserve">Missed 1 day</t>
  </si>
  <si>
    <t xml:space="preserve">Do only the Essential parts (core topic + DSA) of the missed day. Skip Optional items.</t>
  </si>
  <si>
    <t xml:space="preserve">Missed 2-3 days</t>
  </si>
  <si>
    <t xml:space="preserve">Use the next Review day as catch-up. Do not double up on new material.</t>
  </si>
  <si>
    <t xml:space="preserve">Missed more than 3 days</t>
  </si>
  <si>
    <t xml:space="preserve">Shift the plan end date. Drop Optional items and Advanced extensions. Never restart from Day 1.</t>
  </si>
  <si>
    <t xml:space="preserve">Interview invitation</t>
  </si>
  <si>
    <t xml:space="preserve">1) Accept. 2) List the role's required skills. 3) Give the next 1-2 days about 60% to role-specific prep, keep 30 min of DSA and job outreach. 4) After it, log it on Mock Interviews as a REAL interview and add gaps to Weak Areas. 5) Resume the plan.</t>
  </si>
  <si>
    <t xml:space="preserve">Paid project offer</t>
  </si>
  <si>
    <t xml:space="preserve">Accept only if scope is written, 50% upfront, and it fits about 10-15 hrs/week. Then drop Optional items, keep core topic + DSA minimum, and extend the end date by the hours given.</t>
  </si>
  <si>
    <t xml:space="preserve">Not ready yet?</t>
  </si>
  <si>
    <t xml:space="preserve">Use the readiness checkpoints on the Dashboard. You do not need to wait for Day 60 to interview for roles you honestly match.</t>
  </si>
  <si>
    <t xml:space="preserve">Day type</t>
  </si>
  <si>
    <t xml:space="preserve">Outreach sent</t>
  </si>
  <si>
    <t xml:space="preserve">Applications</t>
  </si>
  <si>
    <t xml:space="preserve">Follow-ups</t>
  </si>
  <si>
    <t xml:space="preserve">Interview prep (min)</t>
  </si>
  <si>
    <t xml:space="preserve">Learning (min)</t>
  </si>
  <si>
    <t xml:space="preserve">Low-value time (min)</t>
  </si>
  <si>
    <t xml:space="preserve">Energy</t>
  </si>
  <si>
    <t xml:space="preserve">Main win / blocker</t>
  </si>
  <si>
    <t xml:space="preserve">Learning day #</t>
  </si>
  <si>
    <t xml:space="preserve">Core topic done?</t>
  </si>
  <si>
    <t xml:space="preserve">DSA done?</t>
  </si>
  <si>
    <t xml:space="preserve">Hands-on done?</t>
  </si>
  <si>
    <t xml:space="preserve">Design / deploy done?</t>
  </si>
  <si>
    <t xml:space="preserve">Speaking practice done?</t>
  </si>
  <si>
    <t xml:space="preserve">Active recall done?</t>
  </si>
  <si>
    <t xml:space="preserve">Daily targets (normal day):</t>
  </si>
  <si>
    <t xml:space="preserve">Low-energy day minimum: 5 follow-ups, 1 interview question, then rest.</t>
  </si>
  <si>
    <t xml:space="preserve">Daily targets were changed on 15-Oct-26 (see Change Log). Columns L-R are the daily learning checklist.</t>
  </si>
  <si>
    <t xml:space="preserve">ID</t>
  </si>
  <si>
    <t xml:space="preserve">Module</t>
  </si>
  <si>
    <t xml:space="preserve">Topic</t>
  </si>
  <si>
    <t xml:space="preserve">Tier</t>
  </si>
  <si>
    <t xml:space="preserve">Plan day(s)</t>
  </si>
  <si>
    <t xml:space="preserve">Level (1-5)</t>
  </si>
  <si>
    <t xml:space="preserve">Evidence (code / test / problem / explanation)</t>
  </si>
  <si>
    <t xml:space="preserve">Notes</t>
  </si>
  <si>
    <t xml:space="preserve">Variables, data types, collections, comprehensions</t>
  </si>
  <si>
    <t xml:space="preserve">Master first</t>
  </si>
  <si>
    <t xml:space="preserve">D2</t>
  </si>
  <si>
    <t xml:space="preserve">Functions, args, scope (LEGB), closures, copy semantics</t>
  </si>
  <si>
    <t xml:space="preserve">OOP: classes, methods, inheritance, polymorphism, ABCs</t>
  </si>
  <si>
    <t xml:space="preserve">D3</t>
  </si>
  <si>
    <t xml:space="preserve">Composition vs inheritance</t>
  </si>
  <si>
    <t xml:space="preserve">MRO, super(), dunder methods</t>
  </si>
  <si>
    <t xml:space="preserve">D4</t>
  </si>
  <si>
    <t xml:space="preserve">Properties, descriptors, dataclasses</t>
  </si>
  <si>
    <t xml:space="preserve">Understand conceptually</t>
  </si>
  <si>
    <t xml:space="preserve">Exceptions, custom exceptions, logging</t>
  </si>
  <si>
    <t xml:space="preserve">D5</t>
  </si>
  <si>
    <t xml:space="preserve">Testing: pytest, fixtures, mocking</t>
  </si>
  <si>
    <t xml:space="preserve">Iterators and generators</t>
  </si>
  <si>
    <t xml:space="preserve">D6</t>
  </si>
  <si>
    <t xml:space="preserve">Decorators and context managers</t>
  </si>
  <si>
    <t xml:space="preserve">GIL, threading, multiprocessing, asyncio</t>
  </si>
  <si>
    <t xml:space="preserve">D11</t>
  </si>
  <si>
    <t xml:space="preserve">Type hints, generics, protocols</t>
  </si>
  <si>
    <t xml:space="preserve">Memory management, references, garbage collection</t>
  </si>
  <si>
    <t xml:space="preserve">Packaging, dependency management, configuration</t>
  </si>
  <si>
    <t xml:space="preserve">D12</t>
  </si>
  <si>
    <t xml:space="preserve">Profiling and performance optimization</t>
  </si>
  <si>
    <t xml:space="preserve">Request-response lifecycle, URLs, views, middleware, settings</t>
  </si>
  <si>
    <t xml:space="preserve">QuerySets, lazy evaluation, managers</t>
  </si>
  <si>
    <t xml:space="preserve">D13</t>
  </si>
  <si>
    <t xml:space="preserve">ORM: F/Q, annotate, aggregate, subqueries, select/prefetch, N+1</t>
  </si>
  <si>
    <t xml:space="preserve">Models, relationships, inheritance, migrations</t>
  </si>
  <si>
    <t xml:space="preserve">D16</t>
  </si>
  <si>
    <t xml:space="preserve">Transactions, atomic, select_for_update</t>
  </si>
  <si>
    <t xml:space="preserve">Signals: use and pitfalls</t>
  </si>
  <si>
    <t xml:space="preserve">Auth, sessions, custom user model, permissions</t>
  </si>
  <si>
    <t xml:space="preserve">D17</t>
  </si>
  <si>
    <t xml:space="preserve">Admin customization</t>
  </si>
  <si>
    <t xml:space="preserve">Caching, pagination, filtering</t>
  </si>
  <si>
    <t xml:space="preserve">Forms, validation, file uploads</t>
  </si>
  <si>
    <t xml:space="preserve">DRF serializers, APIView, generics, viewsets, routers</t>
  </si>
  <si>
    <t xml:space="preserve">D18</t>
  </si>
  <si>
    <t xml:space="preserve">DRF JWT, permissions, throttling, versioning</t>
  </si>
  <si>
    <t xml:space="preserve">D19</t>
  </si>
  <si>
    <t xml:space="preserve">DRF error handling and OpenAPI docs</t>
  </si>
  <si>
    <t xml:space="preserve">Django testing: unit and integration</t>
  </si>
  <si>
    <t xml:space="preserve">D20</t>
  </si>
  <si>
    <t xml:space="preserve">Security: CSRF, CORS, SQL injection, secure config</t>
  </si>
  <si>
    <t xml:space="preserve">ASGI vs WSGI</t>
  </si>
  <si>
    <t xml:space="preserve">Channels and WebSockets</t>
  </si>
  <si>
    <t xml:space="preserve">Advanced extension (later)</t>
  </si>
  <si>
    <t xml:space="preserve">D20 (optional)</t>
  </si>
  <si>
    <t xml:space="preserve">Production deployment considerations</t>
  </si>
  <si>
    <t xml:space="preserve">D34</t>
  </si>
  <si>
    <t xml:space="preserve">ASGI, routing, parameters</t>
  </si>
  <si>
    <t xml:space="preserve">D22</t>
  </si>
  <si>
    <t xml:space="preserve">Pydantic models and validation</t>
  </si>
  <si>
    <t xml:space="preserve">Dependency injection and overrides</t>
  </si>
  <si>
    <t xml:space="preserve">D23</t>
  </si>
  <si>
    <t xml:space="preserve">OAuth2, JWT, authorization</t>
  </si>
  <si>
    <t xml:space="preserve">SQLAlchemy 2.0, Alembic, sessions, transactions</t>
  </si>
  <si>
    <t xml:space="preserve">D24</t>
  </si>
  <si>
    <t xml:space="preserve">Sync vs async endpoints</t>
  </si>
  <si>
    <t xml:space="preserve">Middleware and exception handlers</t>
  </si>
  <si>
    <t xml:space="preserve">D25</t>
  </si>
  <si>
    <t xml:space="preserve">Background tasks and their limits</t>
  </si>
  <si>
    <t xml:space="preserve">Testing with pytest and TestClient</t>
  </si>
  <si>
    <t xml:space="preserve">Config, Docker, logging, observability</t>
  </si>
  <si>
    <t xml:space="preserve">D25 / D48</t>
  </si>
  <si>
    <t xml:space="preserve">WebSockets in FastAPI</t>
  </si>
  <si>
    <t xml:space="preserve">later</t>
  </si>
  <si>
    <t xml:space="preserve">Relational fundamentals, keys, constraints</t>
  </si>
  <si>
    <t xml:space="preserve">D8</t>
  </si>
  <si>
    <t xml:space="preserve">Joins and aggregation</t>
  </si>
  <si>
    <t xml:space="preserve">Subqueries, CTEs, set operations</t>
  </si>
  <si>
    <t xml:space="preserve">D9</t>
  </si>
  <si>
    <t xml:space="preserve">Window functions</t>
  </si>
  <si>
    <t xml:space="preserve">Indexes and composite indexes</t>
  </si>
  <si>
    <t xml:space="preserve">D10</t>
  </si>
  <si>
    <t xml:space="preserve">EXPLAIN ANALYZE and slow-query optimization</t>
  </si>
  <si>
    <t xml:space="preserve">Normalization and schema design</t>
  </si>
  <si>
    <t xml:space="preserve">D8 / D10</t>
  </si>
  <si>
    <t xml:space="preserve">ACID and isolation levels</t>
  </si>
  <si>
    <t xml:space="preserve">Locking, deadlocks, optimistic vs pessimistic</t>
  </si>
  <si>
    <t xml:space="preserve">Connection pooling</t>
  </si>
  <si>
    <t xml:space="preserve">D37</t>
  </si>
  <si>
    <t xml:space="preserve">Replication and read replicas</t>
  </si>
  <si>
    <t xml:space="preserve">Partitioning and sharding</t>
  </si>
  <si>
    <t xml:space="preserve">Backups and recovery</t>
  </si>
  <si>
    <t xml:space="preserve">SQL vs NoSQL, Redis use cases</t>
  </si>
  <si>
    <t xml:space="preserve">D26 / D37</t>
  </si>
  <si>
    <t xml:space="preserve">Eventual consistency</t>
  </si>
  <si>
    <t xml:space="preserve">Redis data structures and use cases</t>
  </si>
  <si>
    <t xml:space="preserve">D26</t>
  </si>
  <si>
    <t xml:space="preserve">Cache patterns, TTL, eviction, invalidation</t>
  </si>
  <si>
    <t xml:space="preserve">Cache stampedes and hot keys</t>
  </si>
  <si>
    <t xml:space="preserve">Rate limiting and throttling</t>
  </si>
  <si>
    <t xml:space="preserve">Celery architecture, workers, brokers</t>
  </si>
  <si>
    <t xml:space="preserve">D27</t>
  </si>
  <si>
    <t xml:space="preserve">Retries, backoff, idempotency, DLQ</t>
  </si>
  <si>
    <t xml:space="preserve">Redis vs RabbitMQ as broker</t>
  </si>
  <si>
    <t xml:space="preserve">Webhooks and event-driven workflows</t>
  </si>
  <si>
    <t xml:space="preserve">D29</t>
  </si>
  <si>
    <t xml:space="preserve">Kafka fundamentals</t>
  </si>
  <si>
    <t xml:space="preserve">Timeouts, retries, circuit breakers, bulkheads</t>
  </si>
  <si>
    <t xml:space="preserve">D47</t>
  </si>
  <si>
    <t xml:space="preserve">Idempotent APIs</t>
  </si>
  <si>
    <t xml:space="preserve">Outbox and saga patterns</t>
  </si>
  <si>
    <t xml:space="preserve">Distributed locks and risks</t>
  </si>
  <si>
    <t xml:space="preserve">Monolith vs microservices, scaling, load balancing</t>
  </si>
  <si>
    <t xml:space="preserve">Observability: logs, metrics, traces, alerts</t>
  </si>
  <si>
    <t xml:space="preserve">D48</t>
  </si>
  <si>
    <t xml:space="preserve">REST design, HTTP semantics, API versioning</t>
  </si>
  <si>
    <t xml:space="preserve">D12 / D19</t>
  </si>
  <si>
    <t xml:space="preserve">Layered and clean architecture</t>
  </si>
  <si>
    <t xml:space="preserve">D12 / D50</t>
  </si>
  <si>
    <t xml:space="preserve">Domain-driven design fundamentals</t>
  </si>
  <si>
    <t xml:space="preserve">Linux commands, permissions, processes, ports</t>
  </si>
  <si>
    <t xml:space="preserve">D31</t>
  </si>
  <si>
    <t xml:space="preserve">DNS, HTTP/HTTPS, TCP/IP, TLS</t>
  </si>
  <si>
    <t xml:space="preserve">Nginx and reverse proxies</t>
  </si>
  <si>
    <t xml:space="preserve">Docker images, Dockerfile, layers</t>
  </si>
  <si>
    <t xml:space="preserve">D33</t>
  </si>
  <si>
    <t xml:space="preserve">Docker Compose, volumes, networks</t>
  </si>
  <si>
    <t xml:space="preserve">Multi-stage builds and health checks</t>
  </si>
  <si>
    <t xml:space="preserve">Git workflows</t>
  </si>
  <si>
    <t xml:space="preserve">D38</t>
  </si>
  <si>
    <t xml:space="preserve">CI: lint, test, build</t>
  </si>
  <si>
    <t xml:space="preserve">CD: deploy, migrations, rollback, blue-green</t>
  </si>
  <si>
    <t xml:space="preserve">D46</t>
  </si>
  <si>
    <t xml:space="preserve">Cloud foundations, shared responsibility</t>
  </si>
  <si>
    <t xml:space="preserve">D41</t>
  </si>
  <si>
    <t xml:space="preserve">IAM and least privilege</t>
  </si>
  <si>
    <t xml:space="preserve">D43</t>
  </si>
  <si>
    <t xml:space="preserve">VPC, subnets, security groups</t>
  </si>
  <si>
    <t xml:space="preserve">Managed DB and object storage</t>
  </si>
  <si>
    <t xml:space="preserve">Cost awareness and cleanup</t>
  </si>
  <si>
    <t xml:space="preserve">Deploy a project to a public URL</t>
  </si>
  <si>
    <t xml:space="preserve">D44</t>
  </si>
  <si>
    <t xml:space="preserve">GCP and Azure service mapping</t>
  </si>
  <si>
    <t xml:space="preserve">Serverless fundamentals</t>
  </si>
  <si>
    <t xml:space="preserve">Time and space complexity, Big-O</t>
  </si>
  <si>
    <t xml:space="preserve">D1-D2</t>
  </si>
  <si>
    <t xml:space="preserve">Arrays and strings</t>
  </si>
  <si>
    <t xml:space="preserve">Hash maps and sets</t>
  </si>
  <si>
    <t xml:space="preserve">Two pointers</t>
  </si>
  <si>
    <t xml:space="preserve">Sliding window</t>
  </si>
  <si>
    <t xml:space="preserve">Prefix sums</t>
  </si>
  <si>
    <t xml:space="preserve">Stacks and queues</t>
  </si>
  <si>
    <t xml:space="preserve">Linked lists, fast/slow pointers</t>
  </si>
  <si>
    <t xml:space="preserve">Binary search</t>
  </si>
  <si>
    <t xml:space="preserve">Recursion</t>
  </si>
  <si>
    <t xml:space="preserve">Sorting and intervals</t>
  </si>
  <si>
    <t xml:space="preserve">Tree traversals</t>
  </si>
  <si>
    <t xml:space="preserve">BST</t>
  </si>
  <si>
    <t xml:space="preserve">Heaps and top-K</t>
  </si>
  <si>
    <t xml:space="preserve">BFS</t>
  </si>
  <si>
    <t xml:space="preserve">DFS</t>
  </si>
  <si>
    <t xml:space="preserve">Cycle detection, topological sort</t>
  </si>
  <si>
    <t xml:space="preserve">Backtracking</t>
  </si>
  <si>
    <t xml:space="preserve">Union-find</t>
  </si>
  <si>
    <t xml:space="preserve">Tries</t>
  </si>
  <si>
    <t xml:space="preserve">Greedy</t>
  </si>
  <si>
    <t xml:space="preserve">Dynamic programming 1D and 2D</t>
  </si>
  <si>
    <t xml:space="preserve">D26-D27</t>
  </si>
  <si>
    <t xml:space="preserve">Bit manipulation</t>
  </si>
  <si>
    <t xml:space="preserve">Requirements, estimation, building blocks</t>
  </si>
  <si>
    <t xml:space="preserve">D32</t>
  </si>
  <si>
    <t xml:space="preserve">URL shortener</t>
  </si>
  <si>
    <t xml:space="preserve">D36</t>
  </si>
  <si>
    <t xml:space="preserve">Rate limiter</t>
  </si>
  <si>
    <t xml:space="preserve">Notification service</t>
  </si>
  <si>
    <t xml:space="preserve">D39</t>
  </si>
  <si>
    <t xml:space="preserve">Background job processing system</t>
  </si>
  <si>
    <t xml:space="preserve">D50</t>
  </si>
  <si>
    <t xml:space="preserve">Chat service</t>
  </si>
  <si>
    <t xml:space="preserve">D51</t>
  </si>
  <si>
    <t xml:space="preserve">Booking system</t>
  </si>
  <si>
    <t xml:space="preserve">File upload and storage service</t>
  </si>
  <si>
    <t xml:space="preserve">Scalable task management platform</t>
  </si>
  <si>
    <t xml:space="preserve">Service boundaries and data ownership</t>
  </si>
  <si>
    <t xml:space="preserve">60-90 sec professional introduction</t>
  </si>
  <si>
    <t xml:space="preserve">Career history and project explanations</t>
  </si>
  <si>
    <t xml:space="preserve">D3 / D25</t>
  </si>
  <si>
    <t xml:space="preserve">Explaining technical decisions and trade-offs</t>
  </si>
  <si>
    <t xml:space="preserve">ongoing</t>
  </si>
  <si>
    <t xml:space="preserve">STAR behavioural answers</t>
  </si>
  <si>
    <t xml:space="preserve">D58</t>
  </si>
  <si>
    <t xml:space="preserve">Production bugs and failures stories</t>
  </si>
  <si>
    <t xml:space="preserve">Handling 'I don't know' and clarification</t>
  </si>
  <si>
    <t xml:space="preserve">Thinking aloud in DSA and design</t>
  </si>
  <si>
    <t xml:space="preserve">Salary, notice period, recruiter conversations</t>
  </si>
  <si>
    <t xml:space="preserve">English grammar patterns for interviews</t>
  </si>
  <si>
    <t xml:space="preserve">Mock interview practice</t>
  </si>
  <si>
    <t xml:space="preserve">D30, D45, D55-D59</t>
  </si>
  <si>
    <t xml:space="preserve">Tiers: 'Master first' = expect questions in interviews; 'Understand conceptually' = know trade-offs, implement if time; 'Advanced extension' = later phase.</t>
  </si>
  <si>
    <t xml:space="preserve">Level scale: 1 Awareness, 2 Understanding, 3 Independent implementation, 4 Interview-ready, 5 Advanced application (see Skill Assessment).</t>
  </si>
  <si>
    <t xml:space="preserve">Skill assessment (levels 1-5, evidence required)</t>
  </si>
  <si>
    <t xml:space="preserve">Enter a level only when you have evidence (working code, passing tests, solved problem, accurate explanation, completed design). Yellow cells are yours.</t>
  </si>
  <si>
    <t xml:space="preserve">Interview round</t>
  </si>
  <si>
    <t xml:space="preserve">Weight</t>
  </si>
  <si>
    <t xml:space="preserve">Target level</t>
  </si>
  <si>
    <t xml:space="preserve">Baseline</t>
  </si>
  <si>
    <t xml:space="preserve">Day 15</t>
  </si>
  <si>
    <t xml:space="preserve">Day 30</t>
  </si>
  <si>
    <t xml:space="preserve">Day 45</t>
  </si>
  <si>
    <t xml:space="preserve">Day 60</t>
  </si>
  <si>
    <t xml:space="preserve">Current level</t>
  </si>
  <si>
    <t xml:space="preserve">Gap</t>
  </si>
  <si>
    <t xml:space="preserve">Ready?</t>
  </si>
  <si>
    <t xml:space="preserve">Score %</t>
  </si>
  <si>
    <t xml:space="preserve">Python &amp; Django interview</t>
  </si>
  <si>
    <t xml:space="preserve">Django &amp; DRF</t>
  </si>
  <si>
    <t xml:space="preserve">Databases &amp; SQL</t>
  </si>
  <si>
    <t xml:space="preserve">Database &amp; backend round</t>
  </si>
  <si>
    <t xml:space="preserve">Advanced Backend</t>
  </si>
  <si>
    <t xml:space="preserve">Docker, Cloud &amp; CI/CD</t>
  </si>
  <si>
    <t xml:space="preserve">Deployment &amp; cloud questions</t>
  </si>
  <si>
    <t xml:space="preserve">DSA assessment</t>
  </si>
  <si>
    <t xml:space="preserve">System design round</t>
  </si>
  <si>
    <t xml:space="preserve">Behavioural &amp; communication round</t>
  </si>
  <si>
    <t xml:space="preserve">Weights and target levels are my provisional assumptions for Python backend roles. Change them to match your target jobs. Weights should total 100.</t>
  </si>
  <si>
    <t xml:space="preserve">Level</t>
  </si>
  <si>
    <t xml:space="preserve">Name</t>
  </si>
  <si>
    <t xml:space="preserve">What it means</t>
  </si>
  <si>
    <t xml:space="preserve">Awareness</t>
  </si>
  <si>
    <t xml:space="preserve">I recognise the concept but cannot explain it reliably.</t>
  </si>
  <si>
    <t xml:space="preserve">Understanding</t>
  </si>
  <si>
    <t xml:space="preserve">I can explain the basics and follow examples.</t>
  </si>
  <si>
    <t xml:space="preserve">Independent implementation</t>
  </si>
  <si>
    <t xml:space="preserve">I can solve practical tasks with limited help.</t>
  </si>
  <si>
    <t xml:space="preserve">Interview-ready</t>
  </si>
  <si>
    <t xml:space="preserve">I can explain trade-offs, solve relevant problems and answer follow-ups independently.</t>
  </si>
  <si>
    <t xml:space="preserve">Advanced application</t>
  </si>
  <si>
    <t xml:space="preserve">I can handle complex scenarios, diagnose issues and justify engineering decisions.</t>
  </si>
  <si>
    <t xml:space="preserve">Reading or watching a tutorial is not evidence. Evidence = working code, passing tests, a solved problem, an accurate recorded explanation, or a completed design exercise.</t>
  </si>
  <si>
    <t xml:space="preserve">#</t>
  </si>
  <si>
    <t xml:space="preserve">Problem</t>
  </si>
  <si>
    <t xml:space="preserve">Pattern</t>
  </si>
  <si>
    <t xml:space="preserve">Difficulty</t>
  </si>
  <si>
    <t xml:space="preserve">Source</t>
  </si>
  <si>
    <t xml:space="preserve">Explained approach first?</t>
  </si>
  <si>
    <t xml:space="preserve">Edge cases listed?</t>
  </si>
  <si>
    <t xml:space="preserve">Solved without hint?</t>
  </si>
  <si>
    <t xml:space="preserve">Time (min)</t>
  </si>
  <si>
    <t xml:space="preserve">Time/space stated?</t>
  </si>
  <si>
    <t xml:space="preserve">Review 1 (+1d)</t>
  </si>
  <si>
    <t xml:space="preserve">Review 2 (+3d)</t>
  </si>
  <si>
    <t xml:space="preserve">Review 3 (+7d)</t>
  </si>
  <si>
    <t xml:space="preserve">Review 4 (+21d)</t>
  </si>
  <si>
    <t xml:space="preserve">Reviews done (0-4)</t>
  </si>
  <si>
    <t xml:space="preserve">Next review due</t>
  </si>
  <si>
    <t xml:space="preserve">Notes / mistake</t>
  </si>
  <si>
    <t xml:space="preserve">Two Sum (delete me)</t>
  </si>
  <si>
    <t xml:space="preserve">Hash map</t>
  </si>
  <si>
    <t xml:space="preserve">Easy</t>
  </si>
  <si>
    <t xml:space="preserve">Practice</t>
  </si>
  <si>
    <t xml:space="preserve">Yes</t>
  </si>
  <si>
    <t xml:space="preserve">Rules: attempt first; explain approach, edge cases and complexity BEFORE checking the solution. Review dates are formulas (1, 3, 7, 21 days). Red Next review due = due today or overdue. Row 2 is an example and is not counted.</t>
  </si>
  <si>
    <t xml:space="preserve">Real or mock</t>
  </si>
  <si>
    <t xml:space="preserve">Round</t>
  </si>
  <si>
    <t xml:space="preserve">Question</t>
  </si>
  <si>
    <t xml:space="preserve">My answer (summary)</t>
  </si>
  <si>
    <t xml:space="preserve">Evaluation (1-5)</t>
  </si>
  <si>
    <t xml:space="preserve">Missed concepts</t>
  </si>
  <si>
    <t xml:space="preserve">Improved answer</t>
  </si>
  <si>
    <t xml:space="preserve">Follow-up revision task</t>
  </si>
  <si>
    <t xml:space="preserve">Revision done?</t>
  </si>
  <si>
    <t xml:space="preserve">Python &amp; Django</t>
  </si>
  <si>
    <t xml:space="preserve">Beginner</t>
  </si>
  <si>
    <t xml:space="preserve">Explain mutable vs immutable (delete me)</t>
  </si>
  <si>
    <t xml:space="preserve">(your answer)</t>
  </si>
  <si>
    <t xml:space="preserve">Default mutable args</t>
  </si>
  <si>
    <t xml:space="preserve">(improved answer)</t>
  </si>
  <si>
    <t xml:space="preserve">Redo Python Day 2 exercise 4</t>
  </si>
  <si>
    <t xml:space="preserve">No</t>
  </si>
  <si>
    <t xml:space="preserve">Do not look at answers before attempting. Record each question, your answer, honest evaluation, missed concepts, improved answer and a follow-up task. Row 2 is an example and not counted.</t>
  </si>
  <si>
    <t xml:space="preserve">Portfolio projects and code review checklist</t>
  </si>
  <si>
    <t xml:space="preserve">Three projects, finished and deployed, beat many unfinished ones. Evidence column: repo link, test output, URL.</t>
  </si>
  <si>
    <t xml:space="preserve">Project</t>
  </si>
  <si>
    <t xml:space="preserve">Milestone</t>
  </si>
  <si>
    <t xml:space="preserve">Target day</t>
  </si>
  <si>
    <t xml:space="preserve">Acceptance criteria</t>
  </si>
  <si>
    <t xml:space="preserve">Evidence / link</t>
  </si>
  <si>
    <t xml:space="preserve">1</t>
  </si>
  <si>
    <t xml:space="preserve">Project 1: DRF Booking API</t>
  </si>
  <si>
    <t xml:space="preserve">M1 Models and schema</t>
  </si>
  <si>
    <t xml:space="preserve">Users, resources, bookings with constraints; migrations apply</t>
  </si>
  <si>
    <t xml:space="preserve">M2 CRUD API</t>
  </si>
  <si>
    <t xml:space="preserve">Serializers + viewsets; validation errors correct</t>
  </si>
  <si>
    <t xml:space="preserve">M3 JWT auth and role permissions</t>
  </si>
  <si>
    <t xml:space="preserve">Admin/staff/customer roles enforced by tests</t>
  </si>
  <si>
    <t xml:space="preserve">M4 Double-booking prevention</t>
  </si>
  <si>
    <t xml:space="preserve">atomic + select_for_update; concurrency test proves it</t>
  </si>
  <si>
    <t xml:space="preserve">M5 Tests, N+1 fixes, OpenAPI, README</t>
  </si>
  <si>
    <t xml:space="preserve">Critical paths tested; query counts documented; README runs from scratch</t>
  </si>
  <si>
    <t xml:space="preserve">M6 Celery reminders</t>
  </si>
  <si>
    <t xml:space="preserve">Retries and idempotency key tested</t>
  </si>
  <si>
    <t xml:space="preserve">A</t>
  </si>
  <si>
    <t xml:space="preserve">Project A: FastAPI Task API</t>
  </si>
  <si>
    <t xml:space="preserve">M1 Skeleton and schemas</t>
  </si>
  <si>
    <t xml:space="preserve">CRUD routes documented in /docs</t>
  </si>
  <si>
    <t xml:space="preserve">M2 Auth and roles via dependencies</t>
  </si>
  <si>
    <t xml:space="preserve">JWT + role tests</t>
  </si>
  <si>
    <t xml:space="preserve">M3 PostgreSQL, Alembic, pagination, filtering</t>
  </si>
  <si>
    <t xml:space="preserve">Migrations clean; pagination tested</t>
  </si>
  <si>
    <t xml:space="preserve">M4 Tests and Docker</t>
  </si>
  <si>
    <t xml:space="preserve">pytest passes; container runs</t>
  </si>
  <si>
    <t xml:space="preserve">M5 Redis cache and rate limit</t>
  </si>
  <si>
    <t xml:space="preserve">Cache hits visible; limiter tested</t>
  </si>
  <si>
    <t xml:space="preserve">B</t>
  </si>
  <si>
    <t xml:space="preserve">Project B: Advanced async service</t>
  </si>
  <si>
    <t xml:space="preserve">M1 External API client (async, timeout, retry)</t>
  </si>
  <si>
    <t xml:space="preserve">Failures handled; tested with mocks</t>
  </si>
  <si>
    <t xml:space="preserve">M2 Redis caching and background jobs</t>
  </si>
  <si>
    <t xml:space="preserve">Jobs run async; cache invalidation correct</t>
  </si>
  <si>
    <t xml:space="preserve">M3 Transactions, structured logging, error contracts</t>
  </si>
  <si>
    <t xml:space="preserve">Request ID in logs; consistent errors</t>
  </si>
  <si>
    <t xml:space="preserve">M4 Circuit breaker + outbox note</t>
  </si>
  <si>
    <t xml:space="preserve">Failure injection test</t>
  </si>
  <si>
    <t xml:space="preserve">D</t>
  </si>
  <si>
    <t xml:space="preserve">Deployment (one project)</t>
  </si>
  <si>
    <t xml:space="preserve">D1 Dockerfile + Compose + Nginx</t>
  </si>
  <si>
    <t xml:space="preserve">Stack runs with one command</t>
  </si>
  <si>
    <t xml:space="preserve">D2 CI pipeline</t>
  </si>
  <si>
    <t xml:space="preserve">Lint + tests + build on every push</t>
  </si>
  <si>
    <t xml:space="preserve">D3 Cost plan, cleanup, public deploy</t>
  </si>
  <si>
    <t xml:space="preserve">Public HTTPS URL; teardown written</t>
  </si>
  <si>
    <t xml:space="preserve">D4 CD + rollback</t>
  </si>
  <si>
    <t xml:space="preserve">Deploy and rollback demonstrated</t>
  </si>
  <si>
    <t xml:space="preserve">D5 Health checks, logging, docs</t>
  </si>
  <si>
    <t xml:space="preserve">/health, /ready; README + ADRs</t>
  </si>
  <si>
    <t xml:space="preserve">Review area</t>
  </si>
  <si>
    <t xml:space="preserve">Checklist item</t>
  </si>
  <si>
    <t xml:space="preserve">Done?</t>
  </si>
  <si>
    <t xml:space="preserve">Correctness</t>
  </si>
  <si>
    <t xml:space="preserve">Handles edge cases and invalid input</t>
  </si>
  <si>
    <t xml:space="preserve">Concurrency and transactions considered</t>
  </si>
  <si>
    <t xml:space="preserve">Readability</t>
  </si>
  <si>
    <t xml:space="preserve">Clear names, small functions, no dead code</t>
  </si>
  <si>
    <t xml:space="preserve">Comments explain why, not what</t>
  </si>
  <si>
    <t xml:space="preserve">Maintainability</t>
  </si>
  <si>
    <t xml:space="preserve">Layered structure; config separated from code</t>
  </si>
  <si>
    <t xml:space="preserve">No duplicated logic; migrations reviewed</t>
  </si>
  <si>
    <t xml:space="preserve">Testing</t>
  </si>
  <si>
    <t xml:space="preserve">Critical paths and failure cases have tests</t>
  </si>
  <si>
    <t xml:space="preserve">Tests are independent and repeatable</t>
  </si>
  <si>
    <t xml:space="preserve">Security</t>
  </si>
  <si>
    <t xml:space="preserve">No secrets in repo; input validated; auth on every route</t>
  </si>
  <si>
    <t xml:space="preserve">SQL injection, CSRF/CORS considered</t>
  </si>
  <si>
    <t xml:space="preserve">Performance</t>
  </si>
  <si>
    <t xml:space="preserve">No N+1 queries; indexes for hot queries</t>
  </si>
  <si>
    <t xml:space="preserve">Timeouts and caching considered</t>
  </si>
  <si>
    <t xml:space="preserve">Date found</t>
  </si>
  <si>
    <t xml:space="preserve">Topic / weakness</t>
  </si>
  <si>
    <t xml:space="preserve">Found by</t>
  </si>
  <si>
    <t xml:space="preserve">Severity</t>
  </si>
  <si>
    <t xml:space="preserve">Remediation task</t>
  </si>
  <si>
    <t xml:space="preserve">Target date</t>
  </si>
  <si>
    <t xml:space="preserve">Retest result</t>
  </si>
  <si>
    <t xml:space="preserve">Week</t>
  </si>
  <si>
    <t xml:space="preserve">Starts</t>
  </si>
  <si>
    <t xml:space="preserve">Ends</t>
  </si>
  <si>
    <t xml:space="preserve">Plan days done</t>
  </si>
  <si>
    <t xml:space="preserve">Plan days in week</t>
  </si>
  <si>
    <t xml:space="preserve">Avg confidence</t>
  </si>
  <si>
    <t xml:space="preserve">Weekly test score %</t>
  </si>
  <si>
    <t xml:space="preserve">Outreach messages</t>
  </si>
  <si>
    <t xml:space="preserve">Mock interviews</t>
  </si>
  <si>
    <t xml:space="preserve">Biggest win</t>
  </si>
  <si>
    <t xml:space="preserve">Biggest gap</t>
  </si>
  <si>
    <t xml:space="preserve">What I change next week</t>
  </si>
  <si>
    <t xml:space="preserve">Weekly review (15 min, every Review day): 1) What did I actually learn, with evidence? 2) Which topics did I avoid? 3) What failed in the tests? 4) What do I drop or add? 5) Should I accept interviews now? (see Dashboard checkpoint).</t>
  </si>
  <si>
    <t xml:space="preserve">Week 9 covers days 57-60 (4 days). Job metrics count entries dated within each learning week.</t>
  </si>
  <si>
    <t xml:space="preserve">Task</t>
  </si>
  <si>
    <t xml:space="preserve">Target</t>
  </si>
  <si>
    <t xml:space="preserve">Update CV: outcomes first, Django/DRF/PostgreSQL/Redis/Celery/Docker at top</t>
  </si>
  <si>
    <t xml:space="preserve">1 CV</t>
  </si>
  <si>
    <t xml:space="preserve">Update LinkedIn headline, About and Experience</t>
  </si>
  <si>
    <t xml:space="preserve">1 profile</t>
  </si>
  <si>
    <t xml:space="preserve">Build target list (ex-colleagues, agencies, Gulf recruiters, others)</t>
  </si>
  <si>
    <t xml:space="preserve">40 names</t>
  </si>
  <si>
    <t xml:space="preserve">Message Wasif: ask who needs a Django developer</t>
  </si>
  <si>
    <t xml:space="preserve">1 message</t>
  </si>
  <si>
    <t xml:space="preserve">Send brother a specific intro request (3-5 hiring contacts / vendors)</t>
  </si>
  <si>
    <t xml:space="preserve">Send outreach messages</t>
  </si>
  <si>
    <t xml:space="preserve">10 sent</t>
  </si>
  <si>
    <t xml:space="preserve">Apply to well-matched jobs</t>
  </si>
  <si>
    <t xml:space="preserve">3-5 applications</t>
  </si>
  <si>
    <t xml:space="preserve">Follow up on unanswered messages</t>
  </si>
  <si>
    <t xml:space="preserve">all open</t>
  </si>
  <si>
    <t xml:space="preserve">Build a small demo: Django/DRF API with auth, tests, Docker, README</t>
  </si>
  <si>
    <t xml:space="preserve">1 repo</t>
  </si>
  <si>
    <t xml:space="preserve">Light day: 1 interview topic + rest</t>
  </si>
  <si>
    <t xml:space="preserve">1 topic</t>
  </si>
  <si>
    <t xml:space="preserve">Fill Weekly Scorecard and answer review questions</t>
  </si>
  <si>
    <t xml:space="preserve">1 review</t>
  </si>
  <si>
    <t xml:space="preserve">Plan Week 2: what worked, what to stop</t>
  </si>
  <si>
    <t xml:space="preserve">1 plan</t>
  </si>
  <si>
    <t xml:space="preserve">Done so far</t>
  </si>
  <si>
    <t xml:space="preserve">Date applied</t>
  </si>
  <si>
    <t xml:space="preserve">Company</t>
  </si>
  <si>
    <t xml:space="preserve">Role</t>
  </si>
  <si>
    <t xml:space="preserve">Platform</t>
  </si>
  <si>
    <t xml:space="preserve">Location</t>
  </si>
  <si>
    <t xml:space="preserve">Contact / recruiter</t>
  </si>
  <si>
    <t xml:space="preserve">Link</t>
  </si>
  <si>
    <t xml:space="preserve">Follow-up 1 sent</t>
  </si>
  <si>
    <t xml:space="preserve">Follow-up 2 sent</t>
  </si>
  <si>
    <t xml:space="preserve">Interview date</t>
  </si>
  <si>
    <t xml:space="preserve">Example Co (delete me)</t>
  </si>
  <si>
    <t xml:space="preserve">Backend Engineer (Django)</t>
  </si>
  <si>
    <t xml:space="preserve">LinkedIn</t>
  </si>
  <si>
    <t xml:space="preserve">Remote</t>
  </si>
  <si>
    <t xml:space="preserve">Jane Doe</t>
  </si>
  <si>
    <t xml:space="preserve">https://example.com</t>
  </si>
  <si>
    <t xml:space="preserve">Applied</t>
  </si>
  <si>
    <t xml:space="preserve">EXAMPLE row, not counted</t>
  </si>
  <si>
    <t xml:space="preserve">Date sent</t>
  </si>
  <si>
    <t xml:space="preserve">Type</t>
  </si>
  <si>
    <t xml:space="preserve">Channel</t>
  </si>
  <si>
    <t xml:space="preserve">Replied?</t>
  </si>
  <si>
    <t xml:space="preserve">Outcome</t>
  </si>
  <si>
    <t xml:space="preserve">Example Person (delete me)</t>
  </si>
  <si>
    <t xml:space="preserve">Agency</t>
  </si>
  <si>
    <t xml:space="preserve">Example Agency</t>
  </si>
  <si>
    <t xml:space="preserve">Call booked</t>
  </si>
  <si>
    <t xml:space="preserve">Date contacted</t>
  </si>
  <si>
    <t xml:space="preserve">Prospect</t>
  </si>
  <si>
    <t xml:space="preserve">Service</t>
  </si>
  <si>
    <t xml:space="preserve">Quote (PKR)</t>
  </si>
  <si>
    <t xml:space="preserve">Deposit received (PKR)</t>
  </si>
  <si>
    <t xml:space="preserve">Total received (PKR)</t>
  </si>
  <si>
    <t xml:space="preserve">Written scope?</t>
  </si>
  <si>
    <t xml:space="preserve">Example Client (delete me)</t>
  </si>
  <si>
    <t xml:space="preserve">1 Django/DRF API work</t>
  </si>
  <si>
    <t xml:space="preserve">Paid</t>
  </si>
  <si>
    <t xml:space="preserve">Total received to date (PKR)</t>
  </si>
  <si>
    <t xml:space="preserve">Totals exclude the example row (row 2).</t>
  </si>
  <si>
    <t xml:space="preserve">Week starts</t>
  </si>
  <si>
    <t xml:space="preserve">Week ends</t>
  </si>
  <si>
    <t xml:space="preserve">Relevant applications</t>
  </si>
  <si>
    <t xml:space="preserve">Follow-ups sent</t>
  </si>
  <si>
    <t xml:space="preserve">Referral / recruiter replies</t>
  </si>
  <si>
    <t xml:space="preserve">Interviews</t>
  </si>
  <si>
    <t xml:space="preserve">Paid projects</t>
  </si>
  <si>
    <t xml:space="preserve">Money received (PKR)</t>
  </si>
  <si>
    <t xml:space="preserve">Practice sessions</t>
  </si>
  <si>
    <t xml:space="preserve">Low-value hours</t>
  </si>
  <si>
    <t xml:space="preserve">Targets met (of 6)</t>
  </si>
  <si>
    <t xml:space="preserve">Total</t>
  </si>
  <si>
    <t xml:space="preserve">Weekly review: answer in your notebook (10 minutes)</t>
  </si>
  <si>
    <t xml:space="preserve">1. Which channel produced replies this week? Do more of it.</t>
  </si>
  <si>
    <t xml:space="preserve">2. Which channel produced nothing? Cut it or change it.</t>
  </si>
  <si>
    <t xml:space="preserve">3. Did any decision rule on 'Start Here' trigger? What will you change?</t>
  </si>
  <si>
    <t xml:space="preserve">4. What was my top interview weakness? Plan next week's prep on it.</t>
  </si>
  <si>
    <t xml:space="preserve">5. Low-value hours: what caused them and how do I block them?</t>
  </si>
  <si>
    <t xml:space="preserve">Yellow cells (targets, practice sessions, low-value hours) are yours to edit. Other columns are formulas reading your tracker sheets. Grey example rows (row 2) are not counted.</t>
  </si>
  <si>
    <t xml:space="preserve">Category</t>
  </si>
  <si>
    <t xml:space="preserve">Practised (date)</t>
  </si>
  <si>
    <t xml:space="preserve">Last result</t>
  </si>
  <si>
    <t xml:space="preserve">Django ORM: N+1, select_related / prefetch_related</t>
  </si>
  <si>
    <t xml:space="preserve">DRF: serializers, viewsets, permissions, pagination</t>
  </si>
  <si>
    <t xml:space="preserve">Auth: JWT, OAuth 2.0 flow, refresh tokens</t>
  </si>
  <si>
    <t xml:space="preserve">PostgreSQL: indexes, EXPLAIN, query optimisation</t>
  </si>
  <si>
    <t xml:space="preserve">Database</t>
  </si>
  <si>
    <t xml:space="preserve">Transactions, isolation levels, locking</t>
  </si>
  <si>
    <t xml:space="preserve">Redis caching patterns and invalidation</t>
  </si>
  <si>
    <t xml:space="preserve">Infrastructure</t>
  </si>
  <si>
    <t xml:space="preserve">Celery / RabbitMQ: retries, idempotency, task design</t>
  </si>
  <si>
    <t xml:space="preserve">Docker and docker-compose basics</t>
  </si>
  <si>
    <t xml:space="preserve">CI/CD basics (GitHub Actions)</t>
  </si>
  <si>
    <t xml:space="preserve">AWS basics: EC2, S3, RDS, IAM, deploying a container</t>
  </si>
  <si>
    <t xml:space="preserve">REST API design: versioning, errors, rate limiting</t>
  </si>
  <si>
    <t xml:space="preserve">Design</t>
  </si>
  <si>
    <t xml:space="preserve">System design: design a URL shortener / notification service</t>
  </si>
  <si>
    <t xml:space="preserve">Python: generators, decorators, async, GIL</t>
  </si>
  <si>
    <t xml:space="preserve">Explain Project 1 (problem, my role, decision, result)</t>
  </si>
  <si>
    <t xml:space="preserve">Stories</t>
  </si>
  <si>
    <t xml:space="preserve">Explain Project 2 (problem, my role, decision, result)</t>
  </si>
  <si>
    <t xml:space="preserve">Why did you leave / gap since Dec 2025 (honest, brief)</t>
  </si>
  <si>
    <t xml:space="preserve">Salary expectation answer (research first, no invented numbers)</t>
  </si>
  <si>
    <t xml:space="preserve">LLM/RAG basics: embeddings, vector search, prompt design</t>
  </si>
  <si>
    <t xml:space="preserve">AI (later)</t>
  </si>
  <si>
    <t xml:space="preserve">Topics rated 1-2 (work on these first):</t>
  </si>
  <si>
    <t xml:space="preserve">Money (PKR). Fill the yellow cells</t>
  </si>
  <si>
    <t xml:space="preserve">Savings / cash on hand now</t>
  </si>
  <si>
    <t xml:space="preserve">Monthly expense</t>
  </si>
  <si>
    <t xml:space="preserve">Amount (PKR)</t>
  </si>
  <si>
    <t xml:space="preserve">Paid this month?</t>
  </si>
  <si>
    <t xml:space="preserve">Rent / housing</t>
  </si>
  <si>
    <t xml:space="preserve">Food</t>
  </si>
  <si>
    <t xml:space="preserve">Utilities (electricity, gas, water, internet)</t>
  </si>
  <si>
    <t xml:space="preserve">Baby essentials (milk, diapers, medical)</t>
  </si>
  <si>
    <t xml:space="preserve">Transport</t>
  </si>
  <si>
    <t xml:space="preserve">Mobile / internet for work</t>
  </si>
  <si>
    <t xml:space="preserve">Debt / instalments (if any)</t>
  </si>
  <si>
    <t xml:space="preserve">Postpone</t>
  </si>
  <si>
    <t xml:space="preserve">Other</t>
  </si>
  <si>
    <t xml:space="preserve">Total monthly essentials</t>
  </si>
  <si>
    <t xml:space="preserve">Total all expenses</t>
  </si>
  <si>
    <t xml:space="preserve">Weeks of essentials covered by savings</t>
  </si>
  <si>
    <t xml:space="preserve">Freelance income received to date</t>
  </si>
  <si>
    <t xml:space="preserve">Priority order when money is short: baby essentials and medical, food, rent and utilities, then everything else. Avoid loans, courses and Connects until you have compared the risks. 4.33 = average weeks per month.</t>
  </si>
  <si>
    <t xml:space="preserve">Sheet</t>
  </si>
  <si>
    <t xml:space="preserve">Change</t>
  </si>
  <si>
    <t xml:space="preserve">Why</t>
  </si>
  <si>
    <t xml:space="preserve">15-Oct-26</t>
  </si>
  <si>
    <t xml:space="preserve">Learning Dashboard, 60-Day Plan, 30-Day Accelerated, Daily Schedule, Curriculum, Skill Assessment, DSA Log, Mock Interviews, Projects &amp; Review, Weak Areas, Weekly Review</t>
  </si>
  <si>
    <t xml:space="preserve">New sheets added</t>
  </si>
  <si>
    <t xml:space="preserve">Upgrade to the 60-day learning and interview-prep strategy</t>
  </si>
  <si>
    <t xml:space="preserve">Daily Log</t>
  </si>
  <si>
    <t xml:space="preserve">Added columns L-R: learning day number and a daily checklist (Yes/No/Partly)</t>
  </si>
  <si>
    <t xml:space="preserve">Daily checklist</t>
  </si>
  <si>
    <t xml:space="preserve">Daily targets changed to 5 outreach, 2 applications, 3 follow-ups (were 10, 3, 5)</t>
  </si>
  <si>
    <t xml:space="preserve">Learning is now the main focus; job search continues at quality-over-volume levels</t>
  </si>
  <si>
    <t xml:space="preserve">Weekly Scorecard</t>
  </si>
  <si>
    <t xml:space="preserve">Outreach target changed from 30 to 25 per week</t>
  </si>
  <si>
    <t xml:space="preserve">Same reason; applications 10/week and follow-ups 15/week unchanged</t>
  </si>
  <si>
    <t xml:space="preserve">Start Here</t>
  </si>
  <si>
    <t xml:space="preserve">Added a section listing the new sheets</t>
  </si>
  <si>
    <t xml:space="preserve">Navigation</t>
  </si>
  <si>
    <t xml:space="preserve">All existing sheets</t>
  </si>
  <si>
    <t xml:space="preserve">No existing entries, dates or formulas were removed. No task is marked Completed.</t>
  </si>
  <si>
    <t xml:space="preserve">Preserve your data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</si>
</sst>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"/>
    <numFmt numFmtId="167" formatCode="0%"/>
    <numFmt numFmtId="168" formatCode="0.0"/>
    <numFmt numFmtId="169" formatCode="dd\-mmm\-yy"/>
    <numFmt numFmtId="170" formatCode="#,##0"/>
    <numFmt numFmtId="171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 completion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'Learning Dashboard'!D22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'Learning Dashboard'!$A$23:$A$28</c:f>
              <c:strCache>
                <c:ptCount val="6"/>
                <c:pt idx="0">
                  <c:v>P1 Foundations</c:v>
                </c:pt>
                <c:pt idx="1">
                  <c:v>P2 Adv Python, Django &amp; DRF</c:v>
                </c:pt>
                <c:pt idx="2">
                  <c:v>P3 FastAPI &amp; Backend</c:v>
                </c:pt>
                <c:pt idx="3">
                  <c:v>P4 Systems &amp; Docker</c:v>
                </c:pt>
                <c:pt idx="4">
                  <c:v>P5 Cloud &amp; Reliability</c:v>
                </c:pt>
                <c:pt idx="5">
                  <c:v>P6 Revision &amp; Mocks</c:v>
                </c:pt>
              </c:strCache>
            </c:strRef>
          </c:cat>
          <c:val>
            <c:numRef>
              <c:f>'Learning Dashboard'!$D$23:$D$28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89391749"/>
        <c:axId val="12779582"/>
      </c:barChart>
      <c:catAx>
        <c:axId val="893917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9582"/>
        <c:crosses val="autoZero"/>
        <c:auto val="1"/>
        <c:lblAlgn val="ctr"/>
        <c:lblOffset val="100"/>
        <c:noMultiLvlLbl val="0"/>
      </c:catAx>
      <c:valAx>
        <c:axId val="12779582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17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level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'Skill Assessment'!J3</c:f>
              <c:strCache>
                <c:ptCount val="1"/>
                <c:pt idx="0">
                  <c:v>Current level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'Skill Assessment'!$A$4:$A$12</c:f>
              <c:strCache>
                <c:ptCount val="9"/>
                <c:pt idx="0">
                  <c:v>Python</c:v>
                </c:pt>
                <c:pt idx="1">
                  <c:v>Django &amp; DRF</c:v>
                </c:pt>
                <c:pt idx="2">
                  <c:v>FastAPI</c:v>
                </c:pt>
                <c:pt idx="3">
                  <c:v>Databases &amp; SQL</c:v>
                </c:pt>
                <c:pt idx="4">
                  <c:v>Advanced Backend</c:v>
                </c:pt>
                <c:pt idx="5">
                  <c:v>Docker, Cloud &amp; CI/CD</c:v>
                </c:pt>
                <c:pt idx="6">
                  <c:v>DSA</c:v>
                </c:pt>
                <c:pt idx="7">
                  <c:v>System Design</c:v>
                </c:pt>
                <c:pt idx="8">
                  <c:v>Communication</c:v>
                </c:pt>
              </c:strCache>
            </c:strRef>
          </c:cat>
          <c:val>
            <c:numRef>
              <c:f>'Skill Assessment'!$J$4:$J$12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strRef>
              <c:f>'Skill Assessment'!D3</c:f>
              <c:strCache>
                <c:ptCount val="1"/>
                <c:pt idx="0">
                  <c:v>Target level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'Skill Assessment'!$A$4:$A$12</c:f>
              <c:strCache>
                <c:ptCount val="9"/>
                <c:pt idx="0">
                  <c:v>Python</c:v>
                </c:pt>
                <c:pt idx="1">
                  <c:v>Django &amp; DRF</c:v>
                </c:pt>
                <c:pt idx="2">
                  <c:v>FastAPI</c:v>
                </c:pt>
                <c:pt idx="3">
                  <c:v>Databases &amp; SQL</c:v>
                </c:pt>
                <c:pt idx="4">
                  <c:v>Advanced Backend</c:v>
                </c:pt>
                <c:pt idx="5">
                  <c:v>Docker, Cloud &amp; CI/CD</c:v>
                </c:pt>
                <c:pt idx="6">
                  <c:v>DSA</c:v>
                </c:pt>
                <c:pt idx="7">
                  <c:v>System Design</c:v>
                </c:pt>
                <c:pt idx="8">
                  <c:v>Communication</c:v>
                </c:pt>
              </c:strCache>
            </c:strRef>
          </c:cat>
          <c:val>
            <c:numRef>
              <c:f>'Skill Assessment'!$D$4:$D$12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</c:ser>
        <c:gapWidth val="150"/>
        <c:overlap val="0"/>
        <c:axId val="64445131"/>
        <c:axId val="25615758"/>
      </c:barChart>
      <c:catAx>
        <c:axId val="64445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15758"/>
        <c:crosses val="autoZero"/>
        <c:auto val="1"/>
        <c:lblAlgn val="ctr"/>
        <c:lblOffset val="100"/>
        <c:noMultiLvlLbl val="0"/>
      </c:catAx>
      <c:valAx>
        <c:axId val="25615758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51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17</xdr:col>
      <xdr:colOff>255960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949248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160560</xdr:rowOff>
    </xdr:from>
    <xdr:to>
      <xdr:col>17</xdr:col>
      <xdr:colOff>255960</xdr:colOff>
      <xdr:row>33</xdr:row>
      <xdr:rowOff>66600</xdr:rowOff>
    </xdr:to>
    <xdr:graphicFrame>
      <xdr:nvGraphicFramePr>
        <xdr:cNvPr id="1" name="Chart 2"/>
        <xdr:cNvGraphicFramePr/>
      </xdr:nvGraphicFramePr>
      <xdr:xfrm>
        <a:off x="949248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n">
        <v>46309</v>
      </c>
    </row>
    <row r="4" customFormat="false" ht="15" hidden="false" customHeight="true" outlineLevel="0" collapsed="false">
      <c r="A4" s="5" t="s">
        <v>2</v>
      </c>
    </row>
    <row r="6" customFormat="false" ht="15" hidden="false" customHeight="true" outlineLevel="0" collapsed="false">
      <c r="A6" s="6" t="s">
        <v>3</v>
      </c>
      <c r="B6" s="7"/>
    </row>
    <row r="7" customFormat="false" ht="15" hidden="false" customHeight="true" outlineLevel="0" collapsed="false">
      <c r="A7" s="3" t="s">
        <v>4</v>
      </c>
      <c r="B7" s="8" t="s">
        <v>5</v>
      </c>
    </row>
    <row r="8" customFormat="false" ht="15" hidden="false" customHeight="true" outlineLevel="0" collapsed="false">
      <c r="A8" s="3" t="s">
        <v>6</v>
      </c>
      <c r="B8" s="8" t="s">
        <v>7</v>
      </c>
    </row>
    <row r="9" customFormat="false" ht="15" hidden="false" customHeight="true" outlineLevel="0" collapsed="false">
      <c r="A9" s="3" t="s">
        <v>8</v>
      </c>
      <c r="B9" s="8" t="s">
        <v>9</v>
      </c>
    </row>
    <row r="10" customFormat="false" ht="15" hidden="false" customHeight="true" outlineLevel="0" collapsed="false">
      <c r="A10" s="3" t="s">
        <v>10</v>
      </c>
      <c r="B10" s="8" t="s">
        <v>11</v>
      </c>
    </row>
    <row r="11" customFormat="false" ht="15" hidden="false" customHeight="true" outlineLevel="0" collapsed="false">
      <c r="A11" s="3" t="s">
        <v>12</v>
      </c>
      <c r="B11" s="8" t="s">
        <v>13</v>
      </c>
    </row>
    <row r="12" customFormat="false" ht="15" hidden="false" customHeight="true" outlineLevel="0" collapsed="false">
      <c r="A12" s="3" t="s">
        <v>14</v>
      </c>
      <c r="B12" s="8" t="s">
        <v>15</v>
      </c>
    </row>
    <row r="13" customFormat="false" ht="15" hidden="false" customHeight="true" outlineLevel="0" collapsed="false">
      <c r="A13" s="3"/>
      <c r="B13" s="8"/>
    </row>
    <row r="14" customFormat="false" ht="15" hidden="false" customHeight="true" outlineLevel="0" collapsed="false">
      <c r="A14" s="6" t="s">
        <v>16</v>
      </c>
      <c r="B14" s="7"/>
    </row>
    <row r="15" customFormat="false" ht="15" hidden="false" customHeight="true" outlineLevel="0" collapsed="false">
      <c r="A15" s="3" t="s">
        <v>17</v>
      </c>
      <c r="B15" s="8" t="s">
        <v>18</v>
      </c>
    </row>
    <row r="16" customFormat="false" ht="23.25" hidden="false" customHeight="true" outlineLevel="0" collapsed="false">
      <c r="A16" s="9" t="s">
        <v>19</v>
      </c>
      <c r="B16" s="8" t="s">
        <v>20</v>
      </c>
    </row>
    <row r="17" customFormat="false" ht="15" hidden="false" customHeight="true" outlineLevel="0" collapsed="false">
      <c r="A17" s="10" t="s">
        <v>21</v>
      </c>
      <c r="B17" s="8" t="s">
        <v>22</v>
      </c>
    </row>
    <row r="18" customFormat="false" ht="15" hidden="false" customHeight="true" outlineLevel="0" collapsed="false">
      <c r="A18" s="3"/>
      <c r="B18" s="8"/>
    </row>
    <row r="19" customFormat="false" ht="15" hidden="false" customHeight="true" outlineLevel="0" collapsed="false">
      <c r="A19" s="6" t="s">
        <v>23</v>
      </c>
      <c r="B19" s="7"/>
    </row>
    <row r="20" customFormat="false" ht="15" hidden="false" customHeight="true" outlineLevel="0" collapsed="false">
      <c r="A20" s="3" t="s">
        <v>24</v>
      </c>
      <c r="B20" s="8" t="s">
        <v>25</v>
      </c>
    </row>
    <row r="21" customFormat="false" ht="15" hidden="false" customHeight="true" outlineLevel="0" collapsed="false">
      <c r="A21" s="3" t="s">
        <v>26</v>
      </c>
      <c r="B21" s="8" t="s">
        <v>27</v>
      </c>
    </row>
    <row r="22" customFormat="false" ht="15" hidden="false" customHeight="true" outlineLevel="0" collapsed="false">
      <c r="A22" s="3" t="s">
        <v>28</v>
      </c>
      <c r="B22" s="8" t="s">
        <v>29</v>
      </c>
    </row>
    <row r="23" customFormat="false" ht="15" hidden="false" customHeight="true" outlineLevel="0" collapsed="false">
      <c r="A23" s="3" t="s">
        <v>30</v>
      </c>
      <c r="B23" s="8" t="s">
        <v>31</v>
      </c>
    </row>
    <row r="24" customFormat="false" ht="15" hidden="false" customHeight="true" outlineLevel="0" collapsed="false">
      <c r="A24" s="3" t="s">
        <v>32</v>
      </c>
      <c r="B24" s="8" t="s">
        <v>33</v>
      </c>
    </row>
    <row r="25" customFormat="false" ht="15" hidden="false" customHeight="true" outlineLevel="0" collapsed="false">
      <c r="A25" s="3" t="s">
        <v>34</v>
      </c>
      <c r="B25" s="8" t="s">
        <v>35</v>
      </c>
    </row>
    <row r="26" customFormat="false" ht="15" hidden="false" customHeight="true" outlineLevel="0" collapsed="false">
      <c r="A26" s="3"/>
      <c r="B26" s="8"/>
    </row>
    <row r="27" customFormat="false" ht="15" hidden="false" customHeight="true" outlineLevel="0" collapsed="false">
      <c r="A27" s="6" t="s">
        <v>36</v>
      </c>
      <c r="B27" s="7"/>
    </row>
    <row r="28" customFormat="false" ht="23.25" hidden="false" customHeight="true" outlineLevel="0" collapsed="false">
      <c r="A28" s="3" t="s">
        <v>37</v>
      </c>
      <c r="B28" s="8" t="s">
        <v>38</v>
      </c>
    </row>
    <row r="29" customFormat="false" ht="15" hidden="false" customHeight="true" outlineLevel="0" collapsed="false">
      <c r="A29" s="3" t="s">
        <v>39</v>
      </c>
      <c r="B29" s="8" t="s">
        <v>40</v>
      </c>
    </row>
    <row r="30" customFormat="false" ht="15" hidden="false" customHeight="true" outlineLevel="0" collapsed="false">
      <c r="A30" s="3" t="s">
        <v>41</v>
      </c>
      <c r="B30" s="8" t="s">
        <v>42</v>
      </c>
    </row>
    <row r="32" customFormat="false" ht="15" hidden="false" customHeight="false" outlineLevel="0" collapsed="false">
      <c r="A32" s="11" t="s">
        <v>43</v>
      </c>
      <c r="B32" s="12"/>
    </row>
    <row r="33" customFormat="false" ht="15" hidden="false" customHeight="false" outlineLevel="0" collapsed="false">
      <c r="A33" s="13" t="s">
        <v>44</v>
      </c>
      <c r="B33" s="8" t="s">
        <v>45</v>
      </c>
    </row>
    <row r="34" customFormat="false" ht="15" hidden="false" customHeight="false" outlineLevel="0" collapsed="false">
      <c r="A34" s="13" t="s">
        <v>46</v>
      </c>
      <c r="B34" s="8" t="s">
        <v>47</v>
      </c>
    </row>
    <row r="35" customFormat="false" ht="15" hidden="false" customHeight="false" outlineLevel="0" collapsed="false">
      <c r="A35" s="13" t="s">
        <v>48</v>
      </c>
      <c r="B35" s="8" t="s">
        <v>49</v>
      </c>
    </row>
    <row r="36" customFormat="false" ht="15" hidden="false" customHeight="false" outlineLevel="0" collapsed="false">
      <c r="A36" s="13" t="s">
        <v>50</v>
      </c>
      <c r="B36" s="8" t="s">
        <v>51</v>
      </c>
    </row>
    <row r="37" customFormat="false" ht="15" hidden="false" customHeight="false" outlineLevel="0" collapsed="false">
      <c r="A37" s="13" t="s">
        <v>52</v>
      </c>
      <c r="B37" s="8" t="s">
        <v>53</v>
      </c>
    </row>
    <row r="38" customFormat="false" ht="15" hidden="false" customHeight="false" outlineLevel="0" collapsed="false">
      <c r="A38" s="13" t="s">
        <v>54</v>
      </c>
      <c r="B38" s="8" t="s">
        <v>55</v>
      </c>
    </row>
    <row r="39" customFormat="false" ht="15" hidden="false" customHeight="false" outlineLevel="0" collapsed="false">
      <c r="A39" s="13" t="s">
        <v>56</v>
      </c>
      <c r="B39" s="8" t="s">
        <v>57</v>
      </c>
    </row>
    <row r="40" customFormat="false" ht="15" hidden="false" customHeight="false" outlineLevel="0" collapsed="false">
      <c r="A40" s="13" t="s">
        <v>58</v>
      </c>
      <c r="B40" s="8" t="s">
        <v>59</v>
      </c>
    </row>
    <row r="41" customFormat="false" ht="15" hidden="false" customHeight="false" outlineLevel="0" collapsed="false">
      <c r="A41" s="13" t="s">
        <v>60</v>
      </c>
      <c r="B41" s="8" t="s">
        <v>61</v>
      </c>
    </row>
    <row r="42" customFormat="false" ht="15" hidden="false" customHeight="false" outlineLevel="0" collapsed="false">
      <c r="A42" s="13" t="s">
        <v>62</v>
      </c>
      <c r="B42" s="8" t="s">
        <v>63</v>
      </c>
    </row>
    <row r="43" customFormat="false" ht="15" hidden="false" customHeight="false" outlineLevel="0" collapsed="false">
      <c r="A43" s="13" t="s">
        <v>64</v>
      </c>
      <c r="B43" s="8" t="s">
        <v>65</v>
      </c>
    </row>
    <row r="44" customFormat="false" ht="15" hidden="false" customHeight="false" outlineLevel="0" collapsed="false">
      <c r="A44" s="13" t="s">
        <v>66</v>
      </c>
      <c r="B44" s="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4" t="s">
        <v>68</v>
      </c>
    </row>
    <row r="3" customFormat="false" ht="15" hidden="false" customHeight="false" outlineLevel="0" collapsed="false">
      <c r="A3" s="13" t="s">
        <v>69</v>
      </c>
      <c r="B3" s="15" t="n">
        <v>46311</v>
      </c>
      <c r="C3" s="16" t="s">
        <v>70</v>
      </c>
    </row>
    <row r="5" customFormat="false" ht="15" hidden="false" customHeight="false" outlineLevel="0" collapsed="false">
      <c r="A5" s="13" t="s">
        <v>71</v>
      </c>
      <c r="B5" s="17" t="n">
        <f aca="true">MAX(0,MIN(60,TODAY()-B3+1))</f>
        <v>0</v>
      </c>
    </row>
    <row r="6" customFormat="false" ht="15" hidden="false" customHeight="false" outlineLevel="0" collapsed="false">
      <c r="A6" s="13" t="s">
        <v>72</v>
      </c>
      <c r="B6" s="17" t="n">
        <f aca="false">COUNTIF('60-Day Plan'!N2:N61,"Completed")</f>
        <v>0</v>
      </c>
    </row>
    <row r="7" customFormat="false" ht="15" hidden="false" customHeight="false" outlineLevel="0" collapsed="false">
      <c r="A7" s="13" t="s">
        <v>73</v>
      </c>
      <c r="B7" s="17" t="n">
        <f aca="false">COUNTIF('60-Day Plan'!N2:N61,"In Progress")</f>
        <v>0</v>
      </c>
    </row>
    <row r="8" customFormat="false" ht="15" hidden="false" customHeight="false" outlineLevel="0" collapsed="false">
      <c r="A8" s="13" t="s">
        <v>74</v>
      </c>
      <c r="B8" s="17" t="n">
        <f aca="false">COUNTIF('60-Day Plan'!N2:N61,"Blocked")</f>
        <v>0</v>
      </c>
    </row>
    <row r="9" customFormat="false" ht="15" hidden="false" customHeight="false" outlineLevel="0" collapsed="false">
      <c r="A9" s="13" t="s">
        <v>75</v>
      </c>
      <c r="B9" s="18" t="n">
        <f aca="false">B6/60</f>
        <v>0</v>
      </c>
    </row>
    <row r="10" customFormat="false" ht="15" hidden="false" customHeight="false" outlineLevel="0" collapsed="false">
      <c r="A10" s="13" t="s">
        <v>76</v>
      </c>
      <c r="B10" s="17" t="n">
        <f aca="true">MAX(0,MAX(0,MIN(60,TODAY()-B3))-B6)</f>
        <v>0</v>
      </c>
    </row>
    <row r="11" customFormat="false" ht="15" hidden="false" customHeight="false" outlineLevel="0" collapsed="false">
      <c r="A11" s="13" t="s">
        <v>77</v>
      </c>
      <c r="B11" s="19" t="str">
        <f aca="false">IFERROR(AVERAGE('60-Day Plan'!O2:O61),"")</f>
        <v/>
      </c>
    </row>
    <row r="12" customFormat="false" ht="15" hidden="false" customHeight="false" outlineLevel="0" collapsed="false">
      <c r="A12" s="13" t="s">
        <v>78</v>
      </c>
      <c r="B12" s="20" t="str">
        <f aca="false">COUNTIF(Curriculum!F2:F139,"Completed")&amp;" of "&amp;COUNTA(Curriculum!C2:C139)</f>
        <v>0 of 138</v>
      </c>
    </row>
    <row r="13" customFormat="false" ht="15" hidden="false" customHeight="false" outlineLevel="0" collapsed="false">
      <c r="A13" s="13" t="s">
        <v>79</v>
      </c>
      <c r="B13" s="17" t="n">
        <f aca="false">COUNTA('DSA Log'!C3:C201)</f>
        <v>0</v>
      </c>
    </row>
    <row r="14" customFormat="false" ht="15" hidden="false" customHeight="false" outlineLevel="0" collapsed="false">
      <c r="A14" s="13" t="s">
        <v>80</v>
      </c>
      <c r="B14" s="17" t="n">
        <f aca="false">COUNTA('Mock Interviews'!F3:F201)</f>
        <v>0</v>
      </c>
    </row>
    <row r="15" customFormat="false" ht="15" hidden="false" customHeight="false" outlineLevel="0" collapsed="false">
      <c r="A15" s="13" t="s">
        <v>81</v>
      </c>
      <c r="B15" s="17" t="n">
        <f aca="false">COUNTIFS('Weak Areas'!D2:D101,"&lt;&gt;",'Weak Areas'!I2:I101,"&lt;&gt;Fixed")</f>
        <v>0</v>
      </c>
    </row>
    <row r="16" customFormat="false" ht="15" hidden="false" customHeight="false" outlineLevel="0" collapsed="false">
      <c r="A16" s="13" t="s">
        <v>82</v>
      </c>
      <c r="B16" s="18" t="n">
        <f aca="false">'Skill Assessment'!M14</f>
        <v>0</v>
      </c>
    </row>
    <row r="18" customFormat="false" ht="15" hidden="false" customHeight="false" outlineLevel="0" collapsed="false">
      <c r="A18" s="13" t="s">
        <v>83</v>
      </c>
      <c r="B18" s="0" t="str">
        <f aca="false">IF(OR('Skill Assessment'!J4="",'Skill Assessment'!J5="",'Skill Assessment'!J7="",'Skill Assessment'!J12=""),"Not assessed yet. Complete the baseline on Skill Assessment.",IF(AND('Skill Assessment'!J4&gt;=3,'Skill Assessment'!J5&gt;=3,'Skill Assessment'!J7&gt;=3,'Skill Assessment'!J12&gt;=3),"Ready to accept suitable mid-level interviews. Claim only what you can show.","Keep building. Apply only to roles you clearly match."))</f>
        <v>Not assessed yet. Complete the baseline on Skill Assessment.</v>
      </c>
    </row>
    <row r="19" customFormat="false" ht="15" hidden="false" customHeight="false" outlineLevel="0" collapsed="false">
      <c r="A19" s="13" t="s">
        <v>84</v>
      </c>
      <c r="B19" s="0" t="str">
        <f aca="false">IF(OR('Skill Assessment'!J4="",'Skill Assessment'!J5="",'Skill Assessment'!J7="",'Skill Assessment'!J10="",'Skill Assessment'!J11=""),"Not assessed yet.",IF(AND('Skill Assessment'!J4&gt;=4,'Skill Assessment'!J5&gt;=4,'Skill Assessment'!J7&gt;=4,'Skill Assessment'!J10&gt;=3,'Skill Assessment'!J11&gt;=3),"Evidence supports senior-level interviews.","Not yet. Close the gaps on Skill Assessment first."))</f>
        <v>Not assessed yet.</v>
      </c>
    </row>
    <row r="20" customFormat="false" ht="15" hidden="false" customHeight="false" outlineLevel="0" collapsed="false">
      <c r="A20" s="16" t="s">
        <v>85</v>
      </c>
    </row>
    <row r="22" customFormat="false" ht="33.75" hidden="false" customHeight="true" outlineLevel="0" collapsed="false">
      <c r="A22" s="21" t="s">
        <v>86</v>
      </c>
      <c r="B22" s="21" t="s">
        <v>87</v>
      </c>
      <c r="C22" s="21" t="s">
        <v>88</v>
      </c>
      <c r="D22" s="21" t="s">
        <v>89</v>
      </c>
      <c r="E22" s="21"/>
      <c r="F22" s="21"/>
      <c r="G22" s="21"/>
    </row>
    <row r="23" customFormat="false" ht="15" hidden="false" customHeight="false" outlineLevel="0" collapsed="false">
      <c r="A23" s="22" t="s">
        <v>90</v>
      </c>
      <c r="B23" s="22" t="n">
        <f aca="false">COUNTIF('60-Day Plan'!C2:C61,A23)</f>
        <v>10</v>
      </c>
      <c r="C23" s="22" t="n">
        <f aca="false">COUNTIFS('60-Day Plan'!C2:C61,A23,'60-Day Plan'!N2:N61,"Completed")</f>
        <v>0</v>
      </c>
      <c r="D23" s="23" t="n">
        <f aca="false">IF(B23=0,0,C23/B23)</f>
        <v>0</v>
      </c>
    </row>
    <row r="24" customFormat="false" ht="15" hidden="false" customHeight="false" outlineLevel="0" collapsed="false">
      <c r="A24" s="22" t="s">
        <v>91</v>
      </c>
      <c r="B24" s="22" t="n">
        <f aca="false">COUNTIF('60-Day Plan'!C2:C61,A24)</f>
        <v>10</v>
      </c>
      <c r="C24" s="22" t="n">
        <f aca="false">COUNTIFS('60-Day Plan'!C2:C61,A24,'60-Day Plan'!N2:N61,"Completed")</f>
        <v>0</v>
      </c>
      <c r="D24" s="23" t="n">
        <f aca="false">IF(B24=0,0,C24/B24)</f>
        <v>0</v>
      </c>
    </row>
    <row r="25" customFormat="false" ht="15" hidden="false" customHeight="false" outlineLevel="0" collapsed="false">
      <c r="A25" s="22" t="s">
        <v>92</v>
      </c>
      <c r="B25" s="22" t="n">
        <f aca="false">COUNTIF('60-Day Plan'!C2:C61,A25)</f>
        <v>10</v>
      </c>
      <c r="C25" s="22" t="n">
        <f aca="false">COUNTIFS('60-Day Plan'!C2:C61,A25,'60-Day Plan'!N2:N61,"Completed")</f>
        <v>0</v>
      </c>
      <c r="D25" s="23" t="n">
        <f aca="false">IF(B25=0,0,C25/B25)</f>
        <v>0</v>
      </c>
    </row>
    <row r="26" customFormat="false" ht="15" hidden="false" customHeight="false" outlineLevel="0" collapsed="false">
      <c r="A26" s="22" t="s">
        <v>93</v>
      </c>
      <c r="B26" s="22" t="n">
        <f aca="false">COUNTIF('60-Day Plan'!C2:C61,A26)</f>
        <v>10</v>
      </c>
      <c r="C26" s="22" t="n">
        <f aca="false">COUNTIFS('60-Day Plan'!C2:C61,A26,'60-Day Plan'!N2:N61,"Completed")</f>
        <v>0</v>
      </c>
      <c r="D26" s="23" t="n">
        <f aca="false">IF(B26=0,0,C26/B26)</f>
        <v>0</v>
      </c>
    </row>
    <row r="27" customFormat="false" ht="15" hidden="false" customHeight="false" outlineLevel="0" collapsed="false">
      <c r="A27" s="22" t="s">
        <v>94</v>
      </c>
      <c r="B27" s="22" t="n">
        <f aca="false">COUNTIF('60-Day Plan'!C2:C61,A27)</f>
        <v>10</v>
      </c>
      <c r="C27" s="22" t="n">
        <f aca="false">COUNTIFS('60-Day Plan'!C2:C61,A27,'60-Day Plan'!N2:N61,"Completed")</f>
        <v>0</v>
      </c>
      <c r="D27" s="23" t="n">
        <f aca="false">IF(B27=0,0,C27/B27)</f>
        <v>0</v>
      </c>
    </row>
    <row r="28" customFormat="false" ht="15" hidden="false" customHeight="false" outlineLevel="0" collapsed="false">
      <c r="A28" s="22" t="s">
        <v>95</v>
      </c>
      <c r="B28" s="22" t="n">
        <f aca="false">COUNTIF('60-Day Plan'!C2:C61,A28)</f>
        <v>10</v>
      </c>
      <c r="C28" s="22" t="n">
        <f aca="false">COUNTIFS('60-Day Plan'!C2:C61,A28,'60-Day Plan'!N2:N61,"Completed")</f>
        <v>0</v>
      </c>
      <c r="D28" s="23" t="n">
        <f aca="false">IF(B28=0,0,C28/B28)</f>
        <v>0</v>
      </c>
    </row>
    <row r="31" customFormat="false" ht="33.75" hidden="false" customHeight="true" outlineLevel="0" collapsed="false">
      <c r="A31" s="21" t="s">
        <v>96</v>
      </c>
      <c r="B31" s="21" t="s">
        <v>97</v>
      </c>
      <c r="C31" s="21" t="s">
        <v>88</v>
      </c>
      <c r="D31" s="21" t="s">
        <v>89</v>
      </c>
      <c r="E31" s="21" t="s">
        <v>98</v>
      </c>
      <c r="F31" s="21"/>
      <c r="G31" s="21"/>
    </row>
    <row r="32" customFormat="false" ht="15" hidden="false" customHeight="false" outlineLevel="0" collapsed="false">
      <c r="A32" s="22" t="s">
        <v>99</v>
      </c>
      <c r="B32" s="22" t="n">
        <f aca="false">COUNTIF(Curriculum!B2:B139,A32)</f>
        <v>15</v>
      </c>
      <c r="C32" s="22" t="n">
        <f aca="false">COUNTIFS(Curriculum!B2:B139,A32,Curriculum!F2:F139,"Completed")</f>
        <v>0</v>
      </c>
      <c r="D32" s="23" t="n">
        <f aca="false">IF(B32=0,0,C32/B32)</f>
        <v>0</v>
      </c>
      <c r="E32" s="24" t="str">
        <f aca="false">IFERROR(AVERAGEIFS(Curriculum!G2:G139,Curriculum!B2:B139,A32),"")</f>
        <v/>
      </c>
    </row>
    <row r="33" customFormat="false" ht="15" hidden="false" customHeight="false" outlineLevel="0" collapsed="false">
      <c r="A33" s="22" t="s">
        <v>100</v>
      </c>
      <c r="B33" s="22" t="n">
        <f aca="false">COUNTIF(Curriculum!B2:B139,A33)</f>
        <v>18</v>
      </c>
      <c r="C33" s="22" t="n">
        <f aca="false">COUNTIFS(Curriculum!B2:B139,A33,Curriculum!F2:F139,"Completed")</f>
        <v>0</v>
      </c>
      <c r="D33" s="23" t="n">
        <f aca="false">IF(B33=0,0,C33/B33)</f>
        <v>0</v>
      </c>
      <c r="E33" s="24" t="str">
        <f aca="false">IFERROR(AVERAGEIFS(Curriculum!G2:G139,Curriculum!B2:B139,A33),"")</f>
        <v/>
      </c>
    </row>
    <row r="34" customFormat="false" ht="15" hidden="false" customHeight="false" outlineLevel="0" collapsed="false">
      <c r="A34" s="22" t="s">
        <v>101</v>
      </c>
      <c r="B34" s="22" t="n">
        <f aca="false">COUNTIF(Curriculum!B2:B139,A34)</f>
        <v>11</v>
      </c>
      <c r="C34" s="22" t="n">
        <f aca="false">COUNTIFS(Curriculum!B2:B139,A34,Curriculum!F2:F139,"Completed")</f>
        <v>0</v>
      </c>
      <c r="D34" s="23" t="n">
        <f aca="false">IF(B34=0,0,C34/B34)</f>
        <v>0</v>
      </c>
      <c r="E34" s="24" t="str">
        <f aca="false">IFERROR(AVERAGEIFS(Curriculum!G2:G139,Curriculum!B2:B139,A34),"")</f>
        <v/>
      </c>
    </row>
    <row r="35" customFormat="false" ht="15" hidden="false" customHeight="false" outlineLevel="0" collapsed="false">
      <c r="A35" s="22" t="s">
        <v>102</v>
      </c>
      <c r="B35" s="22" t="n">
        <f aca="false">COUNTIF(Curriculum!B2:B139,A35)</f>
        <v>15</v>
      </c>
      <c r="C35" s="22" t="n">
        <f aca="false">COUNTIFS(Curriculum!B2:B139,A35,Curriculum!F2:F139,"Completed")</f>
        <v>0</v>
      </c>
      <c r="D35" s="23" t="n">
        <f aca="false">IF(B35=0,0,C35/B35)</f>
        <v>0</v>
      </c>
      <c r="E35" s="24" t="str">
        <f aca="false">IFERROR(AVERAGEIFS(Curriculum!G2:G139,Curriculum!B2:B139,A35),"")</f>
        <v/>
      </c>
    </row>
    <row r="36" customFormat="false" ht="15" hidden="false" customHeight="false" outlineLevel="0" collapsed="false">
      <c r="A36" s="22" t="s">
        <v>103</v>
      </c>
      <c r="B36" s="22" t="n">
        <f aca="false">COUNTIF(Curriculum!B2:B139,A36)</f>
        <v>18</v>
      </c>
      <c r="C36" s="22" t="n">
        <f aca="false">COUNTIFS(Curriculum!B2:B139,A36,Curriculum!F2:F139,"Completed")</f>
        <v>0</v>
      </c>
      <c r="D36" s="23" t="n">
        <f aca="false">IF(B36=0,0,C36/B36)</f>
        <v>0</v>
      </c>
      <c r="E36" s="24" t="str">
        <f aca="false">IFERROR(AVERAGEIFS(Curriculum!G2:G139,Curriculum!B2:B139,A36),"")</f>
        <v/>
      </c>
    </row>
    <row r="37" customFormat="false" ht="15" hidden="false" customHeight="false" outlineLevel="0" collapsed="false">
      <c r="A37" s="22" t="s">
        <v>104</v>
      </c>
      <c r="B37" s="22" t="n">
        <f aca="false">COUNTIF(Curriculum!B2:B139,A37)</f>
        <v>17</v>
      </c>
      <c r="C37" s="22" t="n">
        <f aca="false">COUNTIFS(Curriculum!B2:B139,A37,Curriculum!F2:F139,"Completed")</f>
        <v>0</v>
      </c>
      <c r="D37" s="23" t="n">
        <f aca="false">IF(B37=0,0,C37/B37)</f>
        <v>0</v>
      </c>
      <c r="E37" s="24" t="str">
        <f aca="false">IFERROR(AVERAGEIFS(Curriculum!G2:G139,Curriculum!B2:B139,A37),"")</f>
        <v/>
      </c>
    </row>
    <row r="38" customFormat="false" ht="15" hidden="false" customHeight="false" outlineLevel="0" collapsed="false">
      <c r="A38" s="22" t="s">
        <v>105</v>
      </c>
      <c r="B38" s="22" t="n">
        <f aca="false">COUNTIF(Curriculum!B2:B139,A38)</f>
        <v>23</v>
      </c>
      <c r="C38" s="22" t="n">
        <f aca="false">COUNTIFS(Curriculum!B2:B139,A38,Curriculum!F2:F139,"Completed")</f>
        <v>0</v>
      </c>
      <c r="D38" s="23" t="n">
        <f aca="false">IF(B38=0,0,C38/B38)</f>
        <v>0</v>
      </c>
      <c r="E38" s="24" t="str">
        <f aca="false">IFERROR(AVERAGEIFS(Curriculum!G2:G139,Curriculum!B2:B139,A38),"")</f>
        <v/>
      </c>
    </row>
    <row r="39" customFormat="false" ht="15" hidden="false" customHeight="false" outlineLevel="0" collapsed="false">
      <c r="A39" s="22" t="s">
        <v>106</v>
      </c>
      <c r="B39" s="22" t="n">
        <f aca="false">COUNTIF(Curriculum!B2:B139,A39)</f>
        <v>11</v>
      </c>
      <c r="C39" s="22" t="n">
        <f aca="false">COUNTIFS(Curriculum!B2:B139,A39,Curriculum!F2:F139,"Completed")</f>
        <v>0</v>
      </c>
      <c r="D39" s="23" t="n">
        <f aca="false">IF(B39=0,0,C39/B39)</f>
        <v>0</v>
      </c>
      <c r="E39" s="24" t="str">
        <f aca="false">IFERROR(AVERAGEIFS(Curriculum!G2:G139,Curriculum!B2:B139,A39),"")</f>
        <v/>
      </c>
    </row>
    <row r="40" customFormat="false" ht="15" hidden="false" customHeight="false" outlineLevel="0" collapsed="false">
      <c r="A40" s="22" t="s">
        <v>107</v>
      </c>
      <c r="B40" s="22" t="n">
        <f aca="false">COUNTIF(Curriculum!B2:B139,A40)</f>
        <v>10</v>
      </c>
      <c r="C40" s="22" t="n">
        <f aca="false">COUNTIFS(Curriculum!B2:B139,A40,Curriculum!F2:F139,"Completed")</f>
        <v>0</v>
      </c>
      <c r="D40" s="23" t="n">
        <f aca="false">IF(B40=0,0,C40/B40)</f>
        <v>0</v>
      </c>
      <c r="E40" s="24" t="str">
        <f aca="false">IFERROR(AVERAGEIFS(Curriculum!G2:G139,Curriculum!B2:B139,A40),"")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42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44"/>
    <col collapsed="false" customWidth="true" hidden="false" outlineLevel="0" max="11" min="11" style="0" width="7"/>
    <col collapsed="false" customWidth="true" hidden="false" outlineLevel="0" max="12" min="12" style="0" width="34"/>
    <col collapsed="false" customWidth="true" hidden="false" outlineLevel="0" max="13" min="13" style="0" width="38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16"/>
    <col collapsed="false" customWidth="true" hidden="false" outlineLevel="0" max="19" min="19" style="0" width="28"/>
    <col collapsed="false" customWidth="true" hidden="false" outlineLevel="0" max="20" min="20" style="0" width="30"/>
  </cols>
  <sheetData>
    <row r="1" customFormat="false" ht="33.75" hidden="false" customHeight="true" outlineLevel="0" collapsed="false">
      <c r="A1" s="21" t="s">
        <v>108</v>
      </c>
      <c r="B1" s="21" t="s">
        <v>109</v>
      </c>
      <c r="C1" s="21" t="s">
        <v>86</v>
      </c>
      <c r="D1" s="21" t="s">
        <v>110</v>
      </c>
      <c r="E1" s="21" t="s">
        <v>111</v>
      </c>
      <c r="F1" s="21" t="s">
        <v>112</v>
      </c>
      <c r="G1" s="21" t="s">
        <v>113</v>
      </c>
      <c r="H1" s="21" t="s">
        <v>114</v>
      </c>
      <c r="I1" s="21" t="s">
        <v>115</v>
      </c>
      <c r="J1" s="21" t="s">
        <v>116</v>
      </c>
      <c r="K1" s="21" t="s">
        <v>117</v>
      </c>
      <c r="L1" s="21" t="s">
        <v>118</v>
      </c>
      <c r="M1" s="21" t="s">
        <v>119</v>
      </c>
      <c r="N1" s="21" t="s">
        <v>120</v>
      </c>
      <c r="O1" s="21" t="s">
        <v>121</v>
      </c>
      <c r="P1" s="21" t="s">
        <v>122</v>
      </c>
      <c r="Q1" s="21" t="s">
        <v>123</v>
      </c>
      <c r="R1" s="21" t="s">
        <v>124</v>
      </c>
      <c r="S1" s="21" t="s">
        <v>125</v>
      </c>
      <c r="T1" s="21" t="s">
        <v>126</v>
      </c>
    </row>
    <row r="2" customFormat="false" ht="35.05" hidden="false" customHeight="false" outlineLevel="0" collapsed="false">
      <c r="A2" s="22" t="n">
        <v>1</v>
      </c>
      <c r="B2" s="25" t="n">
        <f aca="false">'Learning Dashboard'!$B$3+A2-1</f>
        <v>46311</v>
      </c>
      <c r="C2" s="22" t="s">
        <v>90</v>
      </c>
      <c r="D2" s="22" t="s">
        <v>127</v>
      </c>
      <c r="E2" s="22" t="s">
        <v>128</v>
      </c>
      <c r="F2" s="22" t="s">
        <v>129</v>
      </c>
      <c r="G2" s="22" t="s">
        <v>130</v>
      </c>
      <c r="H2" s="22" t="s">
        <v>131</v>
      </c>
      <c r="I2" s="22" t="s">
        <v>132</v>
      </c>
      <c r="J2" s="22" t="s">
        <v>133</v>
      </c>
      <c r="K2" s="22" t="n">
        <v>5</v>
      </c>
      <c r="L2" s="22" t="s">
        <v>134</v>
      </c>
      <c r="M2" s="22" t="s">
        <v>135</v>
      </c>
      <c r="N2" s="26" t="s">
        <v>136</v>
      </c>
      <c r="O2" s="26"/>
      <c r="P2" s="27"/>
      <c r="Q2" s="25" t="str">
        <f aca="false">IF(AND(N2="Completed",P2&lt;&gt;""),P2+3,"")</f>
        <v/>
      </c>
      <c r="R2" s="26"/>
      <c r="S2" s="26"/>
      <c r="T2" s="26"/>
    </row>
    <row r="3" customFormat="false" ht="46.25" hidden="false" customHeight="false" outlineLevel="0" collapsed="false">
      <c r="A3" s="22" t="n">
        <v>2</v>
      </c>
      <c r="B3" s="25" t="n">
        <f aca="false">'Learning Dashboard'!$B$3+A3-1</f>
        <v>46312</v>
      </c>
      <c r="C3" s="22" t="s">
        <v>90</v>
      </c>
      <c r="D3" s="22" t="s">
        <v>137</v>
      </c>
      <c r="E3" s="22" t="s">
        <v>128</v>
      </c>
      <c r="F3" s="22" t="s">
        <v>138</v>
      </c>
      <c r="G3" s="22" t="s">
        <v>139</v>
      </c>
      <c r="H3" s="22" t="s">
        <v>140</v>
      </c>
      <c r="I3" s="22" t="s">
        <v>132</v>
      </c>
      <c r="J3" s="22" t="s">
        <v>141</v>
      </c>
      <c r="K3" s="22" t="n">
        <v>6</v>
      </c>
      <c r="L3" s="22" t="s">
        <v>142</v>
      </c>
      <c r="M3" s="22" t="s">
        <v>143</v>
      </c>
      <c r="N3" s="26" t="s">
        <v>136</v>
      </c>
      <c r="O3" s="26"/>
      <c r="P3" s="27"/>
      <c r="Q3" s="25" t="str">
        <f aca="false">IF(AND(N3="Completed",P3&lt;&gt;""),P3+3,"")</f>
        <v/>
      </c>
      <c r="R3" s="26"/>
      <c r="S3" s="26"/>
      <c r="T3" s="26"/>
    </row>
    <row r="4" customFormat="false" ht="35.05" hidden="false" customHeight="false" outlineLevel="0" collapsed="false">
      <c r="A4" s="22" t="n">
        <v>3</v>
      </c>
      <c r="B4" s="25" t="n">
        <f aca="false">'Learning Dashboard'!$B$3+A4-1</f>
        <v>46313</v>
      </c>
      <c r="C4" s="22" t="s">
        <v>90</v>
      </c>
      <c r="D4" s="22" t="s">
        <v>137</v>
      </c>
      <c r="E4" s="22" t="s">
        <v>128</v>
      </c>
      <c r="F4" s="22" t="s">
        <v>144</v>
      </c>
      <c r="G4" s="22" t="s">
        <v>145</v>
      </c>
      <c r="H4" s="22" t="s">
        <v>146</v>
      </c>
      <c r="I4" s="22" t="s">
        <v>132</v>
      </c>
      <c r="J4" s="22" t="s">
        <v>147</v>
      </c>
      <c r="K4" s="22" t="n">
        <v>6</v>
      </c>
      <c r="L4" s="22" t="s">
        <v>142</v>
      </c>
      <c r="M4" s="22" t="s">
        <v>148</v>
      </c>
      <c r="N4" s="26" t="s">
        <v>136</v>
      </c>
      <c r="O4" s="26"/>
      <c r="P4" s="27"/>
      <c r="Q4" s="25" t="str">
        <f aca="false">IF(AND(N4="Completed",P4&lt;&gt;""),P4+3,"")</f>
        <v/>
      </c>
      <c r="R4" s="26"/>
      <c r="S4" s="26"/>
      <c r="T4" s="26"/>
    </row>
    <row r="5" customFormat="false" ht="35.05" hidden="false" customHeight="false" outlineLevel="0" collapsed="false">
      <c r="A5" s="22" t="n">
        <v>4</v>
      </c>
      <c r="B5" s="25" t="n">
        <f aca="false">'Learning Dashboard'!$B$3+A5-1</f>
        <v>46314</v>
      </c>
      <c r="C5" s="22" t="s">
        <v>90</v>
      </c>
      <c r="D5" s="22" t="s">
        <v>137</v>
      </c>
      <c r="E5" s="22" t="s">
        <v>128</v>
      </c>
      <c r="F5" s="22" t="s">
        <v>149</v>
      </c>
      <c r="G5" s="22" t="s">
        <v>150</v>
      </c>
      <c r="H5" s="22" t="s">
        <v>151</v>
      </c>
      <c r="I5" s="22" t="s">
        <v>132</v>
      </c>
      <c r="J5" s="22" t="s">
        <v>152</v>
      </c>
      <c r="K5" s="22" t="n">
        <v>6</v>
      </c>
      <c r="L5" s="22" t="s">
        <v>142</v>
      </c>
      <c r="M5" s="22" t="s">
        <v>153</v>
      </c>
      <c r="N5" s="26" t="s">
        <v>136</v>
      </c>
      <c r="O5" s="26"/>
      <c r="P5" s="27"/>
      <c r="Q5" s="25" t="str">
        <f aca="false">IF(AND(N5="Completed",P5&lt;&gt;""),P5+3,"")</f>
        <v/>
      </c>
      <c r="R5" s="26"/>
      <c r="S5" s="26"/>
      <c r="T5" s="26"/>
    </row>
    <row r="6" customFormat="false" ht="35.05" hidden="false" customHeight="false" outlineLevel="0" collapsed="false">
      <c r="A6" s="22" t="n">
        <v>5</v>
      </c>
      <c r="B6" s="25" t="n">
        <f aca="false">'Learning Dashboard'!$B$3+A6-1</f>
        <v>46315</v>
      </c>
      <c r="C6" s="22" t="s">
        <v>90</v>
      </c>
      <c r="D6" s="22" t="s">
        <v>137</v>
      </c>
      <c r="E6" s="22" t="s">
        <v>128</v>
      </c>
      <c r="F6" s="22" t="s">
        <v>154</v>
      </c>
      <c r="G6" s="22" t="s">
        <v>155</v>
      </c>
      <c r="H6" s="22" t="s">
        <v>156</v>
      </c>
      <c r="I6" s="22" t="s">
        <v>132</v>
      </c>
      <c r="J6" s="22" t="s">
        <v>157</v>
      </c>
      <c r="K6" s="22" t="n">
        <v>6</v>
      </c>
      <c r="L6" s="22" t="s">
        <v>142</v>
      </c>
      <c r="M6" s="22" t="s">
        <v>158</v>
      </c>
      <c r="N6" s="26" t="s">
        <v>136</v>
      </c>
      <c r="O6" s="26"/>
      <c r="P6" s="27"/>
      <c r="Q6" s="25" t="str">
        <f aca="false">IF(AND(N6="Completed",P6&lt;&gt;""),P6+3,"")</f>
        <v/>
      </c>
      <c r="R6" s="26"/>
      <c r="S6" s="26"/>
      <c r="T6" s="26"/>
    </row>
    <row r="7" customFormat="false" ht="35.05" hidden="false" customHeight="false" outlineLevel="0" collapsed="false">
      <c r="A7" s="22" t="n">
        <v>6</v>
      </c>
      <c r="B7" s="25" t="n">
        <f aca="false">'Learning Dashboard'!$B$3+A7-1</f>
        <v>46316</v>
      </c>
      <c r="C7" s="22" t="s">
        <v>90</v>
      </c>
      <c r="D7" s="22" t="s">
        <v>137</v>
      </c>
      <c r="E7" s="22" t="s">
        <v>128</v>
      </c>
      <c r="F7" s="22" t="s">
        <v>159</v>
      </c>
      <c r="G7" s="22" t="s">
        <v>160</v>
      </c>
      <c r="H7" s="22" t="s">
        <v>161</v>
      </c>
      <c r="I7" s="22" t="s">
        <v>132</v>
      </c>
      <c r="J7" s="22" t="s">
        <v>162</v>
      </c>
      <c r="K7" s="22" t="n">
        <v>6</v>
      </c>
      <c r="L7" s="22" t="s">
        <v>142</v>
      </c>
      <c r="M7" s="22" t="s">
        <v>163</v>
      </c>
      <c r="N7" s="26" t="s">
        <v>136</v>
      </c>
      <c r="O7" s="26"/>
      <c r="P7" s="27"/>
      <c r="Q7" s="25" t="str">
        <f aca="false">IF(AND(N7="Completed",P7&lt;&gt;""),P7+3,"")</f>
        <v/>
      </c>
      <c r="R7" s="26"/>
      <c r="S7" s="26"/>
      <c r="T7" s="26"/>
    </row>
    <row r="8" customFormat="false" ht="23.85" hidden="false" customHeight="false" outlineLevel="0" collapsed="false">
      <c r="A8" s="22" t="n">
        <v>7</v>
      </c>
      <c r="B8" s="25" t="n">
        <f aca="false">'Learning Dashboard'!$B$3+A8-1</f>
        <v>46317</v>
      </c>
      <c r="C8" s="22" t="s">
        <v>90</v>
      </c>
      <c r="D8" s="22" t="s">
        <v>164</v>
      </c>
      <c r="E8" s="22" t="s">
        <v>128</v>
      </c>
      <c r="F8" s="22" t="s">
        <v>165</v>
      </c>
      <c r="G8" s="22" t="s">
        <v>166</v>
      </c>
      <c r="H8" s="22" t="s">
        <v>167</v>
      </c>
      <c r="I8" s="22" t="s">
        <v>132</v>
      </c>
      <c r="J8" s="22" t="s">
        <v>168</v>
      </c>
      <c r="K8" s="22" t="n">
        <v>5</v>
      </c>
      <c r="L8" s="22" t="s">
        <v>169</v>
      </c>
      <c r="M8" s="22" t="s">
        <v>170</v>
      </c>
      <c r="N8" s="26" t="s">
        <v>136</v>
      </c>
      <c r="O8" s="26"/>
      <c r="P8" s="27"/>
      <c r="Q8" s="25" t="str">
        <f aca="false">IF(AND(N8="Completed",P8&lt;&gt;""),P8+3,"")</f>
        <v/>
      </c>
      <c r="R8" s="26"/>
      <c r="S8" s="26"/>
      <c r="T8" s="26"/>
    </row>
    <row r="9" customFormat="false" ht="35.05" hidden="false" customHeight="false" outlineLevel="0" collapsed="false">
      <c r="A9" s="22" t="n">
        <v>8</v>
      </c>
      <c r="B9" s="25" t="n">
        <f aca="false">'Learning Dashboard'!$B$3+A9-1</f>
        <v>46318</v>
      </c>
      <c r="C9" s="22" t="s">
        <v>90</v>
      </c>
      <c r="D9" s="22" t="s">
        <v>171</v>
      </c>
      <c r="E9" s="22" t="s">
        <v>128</v>
      </c>
      <c r="F9" s="22" t="s">
        <v>172</v>
      </c>
      <c r="G9" s="22" t="s">
        <v>173</v>
      </c>
      <c r="H9" s="22" t="s">
        <v>174</v>
      </c>
      <c r="I9" s="22" t="s">
        <v>175</v>
      </c>
      <c r="J9" s="22" t="s">
        <v>176</v>
      </c>
      <c r="K9" s="22" t="n">
        <v>6</v>
      </c>
      <c r="L9" s="22" t="s">
        <v>177</v>
      </c>
      <c r="M9" s="22" t="s">
        <v>178</v>
      </c>
      <c r="N9" s="26" t="s">
        <v>136</v>
      </c>
      <c r="O9" s="26"/>
      <c r="P9" s="27"/>
      <c r="Q9" s="25" t="str">
        <f aca="false">IF(AND(N9="Completed",P9&lt;&gt;""),P9+3,"")</f>
        <v/>
      </c>
      <c r="R9" s="26"/>
      <c r="S9" s="26"/>
      <c r="T9" s="26"/>
    </row>
    <row r="10" customFormat="false" ht="35.05" hidden="false" customHeight="false" outlineLevel="0" collapsed="false">
      <c r="A10" s="22" t="n">
        <v>9</v>
      </c>
      <c r="B10" s="25" t="n">
        <f aca="false">'Learning Dashboard'!$B$3+A10-1</f>
        <v>46319</v>
      </c>
      <c r="C10" s="22" t="s">
        <v>90</v>
      </c>
      <c r="D10" s="22" t="s">
        <v>171</v>
      </c>
      <c r="E10" s="22" t="s">
        <v>128</v>
      </c>
      <c r="F10" s="22" t="s">
        <v>179</v>
      </c>
      <c r="G10" s="22" t="s">
        <v>180</v>
      </c>
      <c r="H10" s="22" t="s">
        <v>181</v>
      </c>
      <c r="I10" s="22" t="s">
        <v>132</v>
      </c>
      <c r="J10" s="22" t="s">
        <v>182</v>
      </c>
      <c r="K10" s="22" t="n">
        <v>6</v>
      </c>
      <c r="L10" s="22" t="s">
        <v>177</v>
      </c>
      <c r="M10" s="22" t="s">
        <v>183</v>
      </c>
      <c r="N10" s="26" t="s">
        <v>136</v>
      </c>
      <c r="O10" s="26"/>
      <c r="P10" s="27"/>
      <c r="Q10" s="25" t="str">
        <f aca="false">IF(AND(N10="Completed",P10&lt;&gt;""),P10+3,"")</f>
        <v/>
      </c>
      <c r="R10" s="26"/>
      <c r="S10" s="26"/>
      <c r="T10" s="26"/>
    </row>
    <row r="11" customFormat="false" ht="46.25" hidden="false" customHeight="false" outlineLevel="0" collapsed="false">
      <c r="A11" s="22" t="n">
        <v>10</v>
      </c>
      <c r="B11" s="25" t="n">
        <f aca="false">'Learning Dashboard'!$B$3+A11-1</f>
        <v>46320</v>
      </c>
      <c r="C11" s="22" t="s">
        <v>90</v>
      </c>
      <c r="D11" s="22" t="s">
        <v>171</v>
      </c>
      <c r="E11" s="22" t="s">
        <v>128</v>
      </c>
      <c r="F11" s="22" t="s">
        <v>184</v>
      </c>
      <c r="G11" s="22" t="s">
        <v>185</v>
      </c>
      <c r="H11" s="22" t="s">
        <v>186</v>
      </c>
      <c r="I11" s="22" t="s">
        <v>132</v>
      </c>
      <c r="J11" s="22" t="s">
        <v>187</v>
      </c>
      <c r="K11" s="22" t="n">
        <v>6</v>
      </c>
      <c r="L11" s="22" t="s">
        <v>177</v>
      </c>
      <c r="M11" s="22" t="s">
        <v>188</v>
      </c>
      <c r="N11" s="26" t="s">
        <v>136</v>
      </c>
      <c r="O11" s="26"/>
      <c r="P11" s="27"/>
      <c r="Q11" s="25" t="str">
        <f aca="false">IF(AND(N11="Completed",P11&lt;&gt;""),P11+3,"")</f>
        <v/>
      </c>
      <c r="R11" s="26"/>
      <c r="S11" s="26"/>
      <c r="T11" s="26"/>
    </row>
    <row r="12" customFormat="false" ht="35.05" hidden="false" customHeight="false" outlineLevel="0" collapsed="false">
      <c r="A12" s="22" t="n">
        <v>11</v>
      </c>
      <c r="B12" s="25" t="n">
        <f aca="false">'Learning Dashboard'!$B$3+A12-1</f>
        <v>46321</v>
      </c>
      <c r="C12" s="22" t="s">
        <v>91</v>
      </c>
      <c r="D12" s="22" t="s">
        <v>137</v>
      </c>
      <c r="E12" s="22" t="s">
        <v>128</v>
      </c>
      <c r="F12" s="22" t="s">
        <v>189</v>
      </c>
      <c r="G12" s="22" t="s">
        <v>190</v>
      </c>
      <c r="H12" s="22" t="s">
        <v>191</v>
      </c>
      <c r="I12" s="22" t="s">
        <v>132</v>
      </c>
      <c r="J12" s="22" t="s">
        <v>192</v>
      </c>
      <c r="K12" s="22" t="n">
        <v>6</v>
      </c>
      <c r="L12" s="22" t="s">
        <v>142</v>
      </c>
      <c r="M12" s="22" t="s">
        <v>193</v>
      </c>
      <c r="N12" s="26" t="s">
        <v>136</v>
      </c>
      <c r="O12" s="26"/>
      <c r="P12" s="27"/>
      <c r="Q12" s="25" t="str">
        <f aca="false">IF(AND(N12="Completed",P12&lt;&gt;""),P12+3,"")</f>
        <v/>
      </c>
      <c r="R12" s="26"/>
      <c r="S12" s="26"/>
      <c r="T12" s="26"/>
    </row>
    <row r="13" customFormat="false" ht="46.25" hidden="false" customHeight="false" outlineLevel="0" collapsed="false">
      <c r="A13" s="22" t="n">
        <v>12</v>
      </c>
      <c r="B13" s="25" t="n">
        <f aca="false">'Learning Dashboard'!$B$3+A13-1</f>
        <v>46322</v>
      </c>
      <c r="C13" s="22" t="s">
        <v>91</v>
      </c>
      <c r="D13" s="22" t="s">
        <v>194</v>
      </c>
      <c r="E13" s="22" t="s">
        <v>128</v>
      </c>
      <c r="F13" s="22" t="s">
        <v>195</v>
      </c>
      <c r="G13" s="22" t="s">
        <v>196</v>
      </c>
      <c r="H13" s="22" t="s">
        <v>197</v>
      </c>
      <c r="I13" s="22" t="s">
        <v>198</v>
      </c>
      <c r="J13" s="22" t="s">
        <v>199</v>
      </c>
      <c r="K13" s="22" t="n">
        <v>6</v>
      </c>
      <c r="L13" s="22" t="s">
        <v>200</v>
      </c>
      <c r="M13" s="22" t="s">
        <v>201</v>
      </c>
      <c r="N13" s="26" t="s">
        <v>136</v>
      </c>
      <c r="O13" s="26"/>
      <c r="P13" s="27"/>
      <c r="Q13" s="25" t="str">
        <f aca="false">IF(AND(N13="Completed",P13&lt;&gt;""),P13+3,"")</f>
        <v/>
      </c>
      <c r="R13" s="26"/>
      <c r="S13" s="26"/>
      <c r="T13" s="26"/>
    </row>
    <row r="14" customFormat="false" ht="35.05" hidden="false" customHeight="false" outlineLevel="0" collapsed="false">
      <c r="A14" s="22" t="n">
        <v>13</v>
      </c>
      <c r="B14" s="25" t="n">
        <f aca="false">'Learning Dashboard'!$B$3+A14-1</f>
        <v>46323</v>
      </c>
      <c r="C14" s="22" t="s">
        <v>91</v>
      </c>
      <c r="D14" s="22" t="s">
        <v>194</v>
      </c>
      <c r="E14" s="22" t="s">
        <v>128</v>
      </c>
      <c r="F14" s="22" t="s">
        <v>202</v>
      </c>
      <c r="G14" s="22" t="s">
        <v>203</v>
      </c>
      <c r="H14" s="22" t="s">
        <v>204</v>
      </c>
      <c r="I14" s="22" t="s">
        <v>132</v>
      </c>
      <c r="J14" s="22" t="s">
        <v>205</v>
      </c>
      <c r="K14" s="22" t="n">
        <v>6</v>
      </c>
      <c r="L14" s="22" t="s">
        <v>200</v>
      </c>
      <c r="M14" s="22" t="s">
        <v>206</v>
      </c>
      <c r="N14" s="26" t="s">
        <v>136</v>
      </c>
      <c r="O14" s="26"/>
      <c r="P14" s="27"/>
      <c r="Q14" s="25" t="str">
        <f aca="false">IF(AND(N14="Completed",P14&lt;&gt;""),P14+3,"")</f>
        <v/>
      </c>
      <c r="R14" s="26"/>
      <c r="S14" s="26"/>
      <c r="T14" s="26"/>
    </row>
    <row r="15" customFormat="false" ht="23.85" hidden="false" customHeight="false" outlineLevel="0" collapsed="false">
      <c r="A15" s="22" t="n">
        <v>14</v>
      </c>
      <c r="B15" s="25" t="n">
        <f aca="false">'Learning Dashboard'!$B$3+A15-1</f>
        <v>46324</v>
      </c>
      <c r="C15" s="22" t="s">
        <v>91</v>
      </c>
      <c r="D15" s="22" t="s">
        <v>164</v>
      </c>
      <c r="E15" s="22" t="s">
        <v>128</v>
      </c>
      <c r="F15" s="22" t="s">
        <v>207</v>
      </c>
      <c r="G15" s="22" t="s">
        <v>208</v>
      </c>
      <c r="H15" s="22" t="s">
        <v>209</v>
      </c>
      <c r="I15" s="22" t="s">
        <v>132</v>
      </c>
      <c r="J15" s="22" t="s">
        <v>210</v>
      </c>
      <c r="K15" s="22" t="n">
        <v>5</v>
      </c>
      <c r="L15" s="22" t="s">
        <v>169</v>
      </c>
      <c r="M15" s="22" t="s">
        <v>211</v>
      </c>
      <c r="N15" s="26" t="s">
        <v>136</v>
      </c>
      <c r="O15" s="26"/>
      <c r="P15" s="27"/>
      <c r="Q15" s="25" t="str">
        <f aca="false">IF(AND(N15="Completed",P15&lt;&gt;""),P15+3,"")</f>
        <v/>
      </c>
      <c r="R15" s="26"/>
      <c r="S15" s="26"/>
      <c r="T15" s="26"/>
    </row>
    <row r="16" customFormat="false" ht="35.05" hidden="false" customHeight="false" outlineLevel="0" collapsed="false">
      <c r="A16" s="22" t="n">
        <v>15</v>
      </c>
      <c r="B16" s="25" t="n">
        <f aca="false">'Learning Dashboard'!$B$3+A16-1</f>
        <v>46325</v>
      </c>
      <c r="C16" s="22" t="s">
        <v>91</v>
      </c>
      <c r="D16" s="22" t="s">
        <v>127</v>
      </c>
      <c r="E16" s="22" t="s">
        <v>128</v>
      </c>
      <c r="F16" s="22" t="s">
        <v>212</v>
      </c>
      <c r="G16" s="22" t="s">
        <v>213</v>
      </c>
      <c r="H16" s="22" t="s">
        <v>214</v>
      </c>
      <c r="I16" s="22" t="s">
        <v>132</v>
      </c>
      <c r="J16" s="22" t="s">
        <v>215</v>
      </c>
      <c r="K16" s="22" t="n">
        <v>6</v>
      </c>
      <c r="L16" s="22" t="s">
        <v>134</v>
      </c>
      <c r="M16" s="22" t="s">
        <v>216</v>
      </c>
      <c r="N16" s="26" t="s">
        <v>136</v>
      </c>
      <c r="O16" s="26"/>
      <c r="P16" s="27"/>
      <c r="Q16" s="25" t="str">
        <f aca="false">IF(AND(N16="Completed",P16&lt;&gt;""),P16+3,"")</f>
        <v/>
      </c>
      <c r="R16" s="26"/>
      <c r="S16" s="26"/>
      <c r="T16" s="26"/>
    </row>
    <row r="17" customFormat="false" ht="35.05" hidden="false" customHeight="false" outlineLevel="0" collapsed="false">
      <c r="A17" s="22" t="n">
        <v>16</v>
      </c>
      <c r="B17" s="25" t="n">
        <f aca="false">'Learning Dashboard'!$B$3+A17-1</f>
        <v>46326</v>
      </c>
      <c r="C17" s="22" t="s">
        <v>91</v>
      </c>
      <c r="D17" s="22" t="s">
        <v>194</v>
      </c>
      <c r="E17" s="22" t="s">
        <v>128</v>
      </c>
      <c r="F17" s="22" t="s">
        <v>217</v>
      </c>
      <c r="G17" s="22" t="s">
        <v>218</v>
      </c>
      <c r="H17" s="22" t="s">
        <v>219</v>
      </c>
      <c r="I17" s="22" t="s">
        <v>220</v>
      </c>
      <c r="J17" s="22" t="s">
        <v>221</v>
      </c>
      <c r="K17" s="22" t="n">
        <v>6</v>
      </c>
      <c r="L17" s="22" t="s">
        <v>200</v>
      </c>
      <c r="M17" s="22" t="s">
        <v>222</v>
      </c>
      <c r="N17" s="26" t="s">
        <v>136</v>
      </c>
      <c r="O17" s="26"/>
      <c r="P17" s="27"/>
      <c r="Q17" s="25" t="str">
        <f aca="false">IF(AND(N17="Completed",P17&lt;&gt;""),P17+3,"")</f>
        <v/>
      </c>
      <c r="R17" s="26"/>
      <c r="S17" s="26"/>
      <c r="T17" s="26"/>
    </row>
    <row r="18" customFormat="false" ht="35.05" hidden="false" customHeight="false" outlineLevel="0" collapsed="false">
      <c r="A18" s="22" t="n">
        <v>17</v>
      </c>
      <c r="B18" s="25" t="n">
        <f aca="false">'Learning Dashboard'!$B$3+A18-1</f>
        <v>46327</v>
      </c>
      <c r="C18" s="22" t="s">
        <v>91</v>
      </c>
      <c r="D18" s="22" t="s">
        <v>194</v>
      </c>
      <c r="E18" s="22" t="s">
        <v>128</v>
      </c>
      <c r="F18" s="22" t="s">
        <v>223</v>
      </c>
      <c r="G18" s="22" t="s">
        <v>224</v>
      </c>
      <c r="H18" s="22" t="s">
        <v>225</v>
      </c>
      <c r="I18" s="22" t="s">
        <v>132</v>
      </c>
      <c r="J18" s="22" t="s">
        <v>226</v>
      </c>
      <c r="K18" s="22" t="n">
        <v>6</v>
      </c>
      <c r="L18" s="22" t="s">
        <v>200</v>
      </c>
      <c r="M18" s="22" t="s">
        <v>227</v>
      </c>
      <c r="N18" s="26" t="s">
        <v>136</v>
      </c>
      <c r="O18" s="26"/>
      <c r="P18" s="27"/>
      <c r="Q18" s="25" t="str">
        <f aca="false">IF(AND(N18="Completed",P18&lt;&gt;""),P18+3,"")</f>
        <v/>
      </c>
      <c r="R18" s="26"/>
      <c r="S18" s="26"/>
      <c r="T18" s="26"/>
    </row>
    <row r="19" customFormat="false" ht="35.05" hidden="false" customHeight="false" outlineLevel="0" collapsed="false">
      <c r="A19" s="22" t="n">
        <v>18</v>
      </c>
      <c r="B19" s="25" t="n">
        <f aca="false">'Learning Dashboard'!$B$3+A19-1</f>
        <v>46328</v>
      </c>
      <c r="C19" s="22" t="s">
        <v>91</v>
      </c>
      <c r="D19" s="22" t="s">
        <v>228</v>
      </c>
      <c r="E19" s="22" t="s">
        <v>128</v>
      </c>
      <c r="F19" s="22" t="s">
        <v>229</v>
      </c>
      <c r="G19" s="22" t="s">
        <v>230</v>
      </c>
      <c r="H19" s="22" t="s">
        <v>231</v>
      </c>
      <c r="I19" s="22" t="s">
        <v>132</v>
      </c>
      <c r="J19" s="22" t="s">
        <v>232</v>
      </c>
      <c r="K19" s="22" t="n">
        <v>6</v>
      </c>
      <c r="L19" s="22" t="s">
        <v>233</v>
      </c>
      <c r="M19" s="22" t="s">
        <v>234</v>
      </c>
      <c r="N19" s="26" t="s">
        <v>136</v>
      </c>
      <c r="O19" s="26"/>
      <c r="P19" s="27"/>
      <c r="Q19" s="25" t="str">
        <f aca="false">IF(AND(N19="Completed",P19&lt;&gt;""),P19+3,"")</f>
        <v/>
      </c>
      <c r="R19" s="26"/>
      <c r="S19" s="26"/>
      <c r="T19" s="26"/>
    </row>
    <row r="20" customFormat="false" ht="35.05" hidden="false" customHeight="false" outlineLevel="0" collapsed="false">
      <c r="A20" s="22" t="n">
        <v>19</v>
      </c>
      <c r="B20" s="25" t="n">
        <f aca="false">'Learning Dashboard'!$B$3+A20-1</f>
        <v>46329</v>
      </c>
      <c r="C20" s="22" t="s">
        <v>91</v>
      </c>
      <c r="D20" s="22" t="s">
        <v>228</v>
      </c>
      <c r="E20" s="22" t="s">
        <v>128</v>
      </c>
      <c r="F20" s="22" t="s">
        <v>235</v>
      </c>
      <c r="G20" s="22" t="s">
        <v>236</v>
      </c>
      <c r="H20" s="22" t="s">
        <v>237</v>
      </c>
      <c r="I20" s="22" t="s">
        <v>132</v>
      </c>
      <c r="J20" s="22" t="s">
        <v>238</v>
      </c>
      <c r="K20" s="22" t="n">
        <v>6</v>
      </c>
      <c r="L20" s="22" t="s">
        <v>233</v>
      </c>
      <c r="M20" s="22" t="s">
        <v>239</v>
      </c>
      <c r="N20" s="26" t="s">
        <v>136</v>
      </c>
      <c r="O20" s="26"/>
      <c r="P20" s="27"/>
      <c r="Q20" s="25" t="str">
        <f aca="false">IF(AND(N20="Completed",P20&lt;&gt;""),P20+3,"")</f>
        <v/>
      </c>
      <c r="R20" s="26"/>
      <c r="S20" s="26"/>
      <c r="T20" s="26"/>
    </row>
    <row r="21" customFormat="false" ht="35.05" hidden="false" customHeight="false" outlineLevel="0" collapsed="false">
      <c r="A21" s="22" t="n">
        <v>20</v>
      </c>
      <c r="B21" s="25" t="n">
        <f aca="false">'Learning Dashboard'!$B$3+A21-1</f>
        <v>46330</v>
      </c>
      <c r="C21" s="22" t="s">
        <v>91</v>
      </c>
      <c r="D21" s="22" t="s">
        <v>228</v>
      </c>
      <c r="E21" s="22" t="s">
        <v>128</v>
      </c>
      <c r="F21" s="22" t="s">
        <v>240</v>
      </c>
      <c r="G21" s="22" t="s">
        <v>241</v>
      </c>
      <c r="H21" s="22" t="s">
        <v>242</v>
      </c>
      <c r="I21" s="22" t="s">
        <v>132</v>
      </c>
      <c r="J21" s="22" t="s">
        <v>243</v>
      </c>
      <c r="K21" s="22" t="n">
        <v>6</v>
      </c>
      <c r="L21" s="22" t="s">
        <v>233</v>
      </c>
      <c r="M21" s="22" t="s">
        <v>244</v>
      </c>
      <c r="N21" s="26" t="s">
        <v>136</v>
      </c>
      <c r="O21" s="26"/>
      <c r="P21" s="27"/>
      <c r="Q21" s="25" t="str">
        <f aca="false">IF(AND(N21="Completed",P21&lt;&gt;""),P21+3,"")</f>
        <v/>
      </c>
      <c r="R21" s="26"/>
      <c r="S21" s="26"/>
      <c r="T21" s="26"/>
    </row>
    <row r="22" customFormat="false" ht="23.85" hidden="false" customHeight="false" outlineLevel="0" collapsed="false">
      <c r="A22" s="22" t="n">
        <v>21</v>
      </c>
      <c r="B22" s="25" t="n">
        <f aca="false">'Learning Dashboard'!$B$3+A22-1</f>
        <v>46331</v>
      </c>
      <c r="C22" s="22" t="s">
        <v>92</v>
      </c>
      <c r="D22" s="22" t="s">
        <v>164</v>
      </c>
      <c r="E22" s="22" t="s">
        <v>128</v>
      </c>
      <c r="F22" s="22" t="s">
        <v>245</v>
      </c>
      <c r="G22" s="22" t="s">
        <v>246</v>
      </c>
      <c r="H22" s="22" t="s">
        <v>209</v>
      </c>
      <c r="I22" s="22" t="s">
        <v>132</v>
      </c>
      <c r="J22" s="22" t="s">
        <v>247</v>
      </c>
      <c r="K22" s="22" t="n">
        <v>5</v>
      </c>
      <c r="L22" s="22" t="s">
        <v>169</v>
      </c>
      <c r="M22" s="22" t="s">
        <v>248</v>
      </c>
      <c r="N22" s="26" t="s">
        <v>136</v>
      </c>
      <c r="O22" s="26"/>
      <c r="P22" s="27"/>
      <c r="Q22" s="25" t="str">
        <f aca="false">IF(AND(N22="Completed",P22&lt;&gt;""),P22+3,"")</f>
        <v/>
      </c>
      <c r="R22" s="26"/>
      <c r="S22" s="26"/>
      <c r="T22" s="26"/>
    </row>
    <row r="23" customFormat="false" ht="35.05" hidden="false" customHeight="false" outlineLevel="0" collapsed="false">
      <c r="A23" s="22" t="n">
        <v>22</v>
      </c>
      <c r="B23" s="25" t="n">
        <f aca="false">'Learning Dashboard'!$B$3+A23-1</f>
        <v>46332</v>
      </c>
      <c r="C23" s="22" t="s">
        <v>92</v>
      </c>
      <c r="D23" s="22" t="s">
        <v>249</v>
      </c>
      <c r="E23" s="22" t="s">
        <v>128</v>
      </c>
      <c r="F23" s="22" t="s">
        <v>250</v>
      </c>
      <c r="G23" s="22" t="s">
        <v>251</v>
      </c>
      <c r="H23" s="22" t="s">
        <v>252</v>
      </c>
      <c r="I23" s="22" t="s">
        <v>132</v>
      </c>
      <c r="J23" s="22" t="s">
        <v>253</v>
      </c>
      <c r="K23" s="22" t="n">
        <v>6</v>
      </c>
      <c r="L23" s="22" t="s">
        <v>254</v>
      </c>
      <c r="M23" s="22" t="s">
        <v>255</v>
      </c>
      <c r="N23" s="26" t="s">
        <v>136</v>
      </c>
      <c r="O23" s="26"/>
      <c r="P23" s="27"/>
      <c r="Q23" s="25" t="str">
        <f aca="false">IF(AND(N23="Completed",P23&lt;&gt;""),P23+3,"")</f>
        <v/>
      </c>
      <c r="R23" s="26"/>
      <c r="S23" s="26"/>
      <c r="T23" s="26"/>
    </row>
    <row r="24" customFormat="false" ht="46.25" hidden="false" customHeight="false" outlineLevel="0" collapsed="false">
      <c r="A24" s="22" t="n">
        <v>23</v>
      </c>
      <c r="B24" s="25" t="n">
        <f aca="false">'Learning Dashboard'!$B$3+A24-1</f>
        <v>46333</v>
      </c>
      <c r="C24" s="22" t="s">
        <v>92</v>
      </c>
      <c r="D24" s="22" t="s">
        <v>249</v>
      </c>
      <c r="E24" s="22" t="s">
        <v>128</v>
      </c>
      <c r="F24" s="22" t="s">
        <v>256</v>
      </c>
      <c r="G24" s="22" t="s">
        <v>257</v>
      </c>
      <c r="H24" s="22" t="s">
        <v>258</v>
      </c>
      <c r="I24" s="22" t="s">
        <v>132</v>
      </c>
      <c r="J24" s="22" t="s">
        <v>259</v>
      </c>
      <c r="K24" s="22" t="n">
        <v>6</v>
      </c>
      <c r="L24" s="22" t="s">
        <v>254</v>
      </c>
      <c r="M24" s="22" t="s">
        <v>260</v>
      </c>
      <c r="N24" s="26" t="s">
        <v>136</v>
      </c>
      <c r="O24" s="26"/>
      <c r="P24" s="27"/>
      <c r="Q24" s="25" t="str">
        <f aca="false">IF(AND(N24="Completed",P24&lt;&gt;""),P24+3,"")</f>
        <v/>
      </c>
      <c r="R24" s="26"/>
      <c r="S24" s="26"/>
      <c r="T24" s="26"/>
    </row>
    <row r="25" customFormat="false" ht="35.05" hidden="false" customHeight="false" outlineLevel="0" collapsed="false">
      <c r="A25" s="22" t="n">
        <v>24</v>
      </c>
      <c r="B25" s="25" t="n">
        <f aca="false">'Learning Dashboard'!$B$3+A25-1</f>
        <v>46334</v>
      </c>
      <c r="C25" s="22" t="s">
        <v>92</v>
      </c>
      <c r="D25" s="22" t="s">
        <v>249</v>
      </c>
      <c r="E25" s="22" t="s">
        <v>128</v>
      </c>
      <c r="F25" s="22" t="s">
        <v>261</v>
      </c>
      <c r="G25" s="22" t="s">
        <v>262</v>
      </c>
      <c r="H25" s="22" t="s">
        <v>263</v>
      </c>
      <c r="I25" s="22" t="s">
        <v>132</v>
      </c>
      <c r="J25" s="22" t="s">
        <v>264</v>
      </c>
      <c r="K25" s="22" t="n">
        <v>6</v>
      </c>
      <c r="L25" s="22" t="s">
        <v>254</v>
      </c>
      <c r="M25" s="22" t="s">
        <v>265</v>
      </c>
      <c r="N25" s="26" t="s">
        <v>136</v>
      </c>
      <c r="O25" s="26"/>
      <c r="P25" s="27"/>
      <c r="Q25" s="25" t="str">
        <f aca="false">IF(AND(N25="Completed",P25&lt;&gt;""),P25+3,"")</f>
        <v/>
      </c>
      <c r="R25" s="26"/>
      <c r="S25" s="26"/>
      <c r="T25" s="26"/>
    </row>
    <row r="26" customFormat="false" ht="35.05" hidden="false" customHeight="false" outlineLevel="0" collapsed="false">
      <c r="A26" s="22" t="n">
        <v>25</v>
      </c>
      <c r="B26" s="25" t="n">
        <f aca="false">'Learning Dashboard'!$B$3+A26-1</f>
        <v>46335</v>
      </c>
      <c r="C26" s="22" t="s">
        <v>92</v>
      </c>
      <c r="D26" s="22" t="s">
        <v>249</v>
      </c>
      <c r="E26" s="22" t="s">
        <v>128</v>
      </c>
      <c r="F26" s="22" t="s">
        <v>266</v>
      </c>
      <c r="G26" s="22" t="s">
        <v>267</v>
      </c>
      <c r="H26" s="22" t="s">
        <v>268</v>
      </c>
      <c r="I26" s="22" t="s">
        <v>132</v>
      </c>
      <c r="J26" s="22" t="s">
        <v>269</v>
      </c>
      <c r="K26" s="22" t="n">
        <v>6</v>
      </c>
      <c r="L26" s="22" t="s">
        <v>254</v>
      </c>
      <c r="M26" s="22" t="s">
        <v>270</v>
      </c>
      <c r="N26" s="26" t="s">
        <v>136</v>
      </c>
      <c r="O26" s="26"/>
      <c r="P26" s="27"/>
      <c r="Q26" s="25" t="str">
        <f aca="false">IF(AND(N26="Completed",P26&lt;&gt;""),P26+3,"")</f>
        <v/>
      </c>
      <c r="R26" s="26"/>
      <c r="S26" s="26"/>
      <c r="T26" s="26"/>
    </row>
    <row r="27" customFormat="false" ht="35.05" hidden="false" customHeight="false" outlineLevel="0" collapsed="false">
      <c r="A27" s="22" t="n">
        <v>26</v>
      </c>
      <c r="B27" s="25" t="n">
        <f aca="false">'Learning Dashboard'!$B$3+A27-1</f>
        <v>46336</v>
      </c>
      <c r="C27" s="22" t="s">
        <v>92</v>
      </c>
      <c r="D27" s="22" t="s">
        <v>271</v>
      </c>
      <c r="E27" s="22" t="s">
        <v>128</v>
      </c>
      <c r="F27" s="22" t="s">
        <v>272</v>
      </c>
      <c r="G27" s="22" t="s">
        <v>273</v>
      </c>
      <c r="H27" s="22" t="s">
        <v>274</v>
      </c>
      <c r="I27" s="22" t="s">
        <v>132</v>
      </c>
      <c r="J27" s="22" t="s">
        <v>275</v>
      </c>
      <c r="K27" s="22" t="n">
        <v>6</v>
      </c>
      <c r="L27" s="22" t="s">
        <v>276</v>
      </c>
      <c r="M27" s="22" t="s">
        <v>277</v>
      </c>
      <c r="N27" s="26" t="s">
        <v>136</v>
      </c>
      <c r="O27" s="26"/>
      <c r="P27" s="27"/>
      <c r="Q27" s="25" t="str">
        <f aca="false">IF(AND(N27="Completed",P27&lt;&gt;""),P27+3,"")</f>
        <v/>
      </c>
      <c r="R27" s="26"/>
      <c r="S27" s="26"/>
      <c r="T27" s="26"/>
    </row>
    <row r="28" customFormat="false" ht="35.05" hidden="false" customHeight="false" outlineLevel="0" collapsed="false">
      <c r="A28" s="22" t="n">
        <v>27</v>
      </c>
      <c r="B28" s="25" t="n">
        <f aca="false">'Learning Dashboard'!$B$3+A28-1</f>
        <v>46337</v>
      </c>
      <c r="C28" s="22" t="s">
        <v>92</v>
      </c>
      <c r="D28" s="22" t="s">
        <v>271</v>
      </c>
      <c r="E28" s="22" t="s">
        <v>128</v>
      </c>
      <c r="F28" s="22" t="s">
        <v>278</v>
      </c>
      <c r="G28" s="22" t="s">
        <v>279</v>
      </c>
      <c r="H28" s="22" t="s">
        <v>280</v>
      </c>
      <c r="I28" s="22" t="s">
        <v>132</v>
      </c>
      <c r="J28" s="22" t="s">
        <v>281</v>
      </c>
      <c r="K28" s="22" t="n">
        <v>6</v>
      </c>
      <c r="L28" s="22" t="s">
        <v>276</v>
      </c>
      <c r="M28" s="22" t="s">
        <v>282</v>
      </c>
      <c r="N28" s="26" t="s">
        <v>136</v>
      </c>
      <c r="O28" s="26"/>
      <c r="P28" s="27"/>
      <c r="Q28" s="25" t="str">
        <f aca="false">IF(AND(N28="Completed",P28&lt;&gt;""),P28+3,"")</f>
        <v/>
      </c>
      <c r="R28" s="26"/>
      <c r="S28" s="26"/>
      <c r="T28" s="26"/>
    </row>
    <row r="29" customFormat="false" ht="35.05" hidden="false" customHeight="false" outlineLevel="0" collapsed="false">
      <c r="A29" s="22" t="n">
        <v>28</v>
      </c>
      <c r="B29" s="25" t="n">
        <f aca="false">'Learning Dashboard'!$B$3+A29-1</f>
        <v>46338</v>
      </c>
      <c r="C29" s="22" t="s">
        <v>92</v>
      </c>
      <c r="D29" s="22" t="s">
        <v>164</v>
      </c>
      <c r="E29" s="22" t="s">
        <v>128</v>
      </c>
      <c r="F29" s="22" t="s">
        <v>283</v>
      </c>
      <c r="G29" s="22" t="s">
        <v>284</v>
      </c>
      <c r="H29" s="22" t="s">
        <v>209</v>
      </c>
      <c r="I29" s="22" t="s">
        <v>132</v>
      </c>
      <c r="J29" s="22" t="s">
        <v>285</v>
      </c>
      <c r="K29" s="22" t="n">
        <v>5</v>
      </c>
      <c r="L29" s="22" t="s">
        <v>169</v>
      </c>
      <c r="M29" s="22" t="s">
        <v>286</v>
      </c>
      <c r="N29" s="26" t="s">
        <v>136</v>
      </c>
      <c r="O29" s="26"/>
      <c r="P29" s="27"/>
      <c r="Q29" s="25" t="str">
        <f aca="false">IF(AND(N29="Completed",P29&lt;&gt;""),P29+3,"")</f>
        <v/>
      </c>
      <c r="R29" s="26"/>
      <c r="S29" s="26"/>
      <c r="T29" s="26"/>
    </row>
    <row r="30" customFormat="false" ht="35.05" hidden="false" customHeight="false" outlineLevel="0" collapsed="false">
      <c r="A30" s="22" t="n">
        <v>29</v>
      </c>
      <c r="B30" s="25" t="n">
        <f aca="false">'Learning Dashboard'!$B$3+A30-1</f>
        <v>46339</v>
      </c>
      <c r="C30" s="22" t="s">
        <v>92</v>
      </c>
      <c r="D30" s="22" t="s">
        <v>287</v>
      </c>
      <c r="E30" s="22" t="s">
        <v>288</v>
      </c>
      <c r="F30" s="22" t="s">
        <v>289</v>
      </c>
      <c r="G30" s="22" t="s">
        <v>290</v>
      </c>
      <c r="H30" s="22" t="s">
        <v>291</v>
      </c>
      <c r="I30" s="22" t="s">
        <v>132</v>
      </c>
      <c r="J30" s="22" t="s">
        <v>292</v>
      </c>
      <c r="K30" s="22" t="n">
        <v>6</v>
      </c>
      <c r="L30" s="22" t="s">
        <v>169</v>
      </c>
      <c r="M30" s="22" t="s">
        <v>293</v>
      </c>
      <c r="N30" s="26" t="s">
        <v>136</v>
      </c>
      <c r="O30" s="26"/>
      <c r="P30" s="27"/>
      <c r="Q30" s="25" t="str">
        <f aca="false">IF(AND(N30="Completed",P30&lt;&gt;""),P30+3,"")</f>
        <v/>
      </c>
      <c r="R30" s="26"/>
      <c r="S30" s="26"/>
      <c r="T30" s="26"/>
    </row>
    <row r="31" customFormat="false" ht="35.05" hidden="false" customHeight="false" outlineLevel="0" collapsed="false">
      <c r="A31" s="22" t="n">
        <v>30</v>
      </c>
      <c r="B31" s="25" t="n">
        <f aca="false">'Learning Dashboard'!$B$3+A31-1</f>
        <v>46340</v>
      </c>
      <c r="C31" s="22" t="s">
        <v>92</v>
      </c>
      <c r="D31" s="22" t="s">
        <v>127</v>
      </c>
      <c r="E31" s="22" t="s">
        <v>128</v>
      </c>
      <c r="F31" s="22" t="s">
        <v>294</v>
      </c>
      <c r="G31" s="22" t="s">
        <v>295</v>
      </c>
      <c r="H31" s="22" t="s">
        <v>296</v>
      </c>
      <c r="I31" s="22" t="s">
        <v>132</v>
      </c>
      <c r="J31" s="22" t="s">
        <v>297</v>
      </c>
      <c r="K31" s="22" t="n">
        <v>6</v>
      </c>
      <c r="L31" s="22" t="s">
        <v>134</v>
      </c>
      <c r="M31" s="22" t="s">
        <v>298</v>
      </c>
      <c r="N31" s="26" t="s">
        <v>136</v>
      </c>
      <c r="O31" s="26"/>
      <c r="P31" s="27"/>
      <c r="Q31" s="25" t="str">
        <f aca="false">IF(AND(N31="Completed",P31&lt;&gt;""),P31+3,"")</f>
        <v/>
      </c>
      <c r="R31" s="26"/>
      <c r="S31" s="26"/>
      <c r="T31" s="26"/>
    </row>
    <row r="32" customFormat="false" ht="46.25" hidden="false" customHeight="false" outlineLevel="0" collapsed="false">
      <c r="A32" s="22" t="n">
        <v>31</v>
      </c>
      <c r="B32" s="25" t="n">
        <f aca="false">'Learning Dashboard'!$B$3+A32-1</f>
        <v>46341</v>
      </c>
      <c r="C32" s="22" t="s">
        <v>93</v>
      </c>
      <c r="D32" s="22" t="s">
        <v>299</v>
      </c>
      <c r="E32" s="22" t="s">
        <v>128</v>
      </c>
      <c r="F32" s="22" t="s">
        <v>300</v>
      </c>
      <c r="G32" s="22" t="s">
        <v>301</v>
      </c>
      <c r="H32" s="22" t="s">
        <v>302</v>
      </c>
      <c r="I32" s="22" t="s">
        <v>303</v>
      </c>
      <c r="J32" s="22" t="s">
        <v>304</v>
      </c>
      <c r="K32" s="22" t="n">
        <v>6</v>
      </c>
      <c r="L32" s="22" t="s">
        <v>305</v>
      </c>
      <c r="M32" s="22" t="s">
        <v>306</v>
      </c>
      <c r="N32" s="26" t="s">
        <v>136</v>
      </c>
      <c r="O32" s="26"/>
      <c r="P32" s="27"/>
      <c r="Q32" s="25" t="str">
        <f aca="false">IF(AND(N32="Completed",P32&lt;&gt;""),P32+3,"")</f>
        <v/>
      </c>
      <c r="R32" s="26"/>
      <c r="S32" s="26"/>
      <c r="T32" s="26"/>
    </row>
    <row r="33" customFormat="false" ht="46.25" hidden="false" customHeight="false" outlineLevel="0" collapsed="false">
      <c r="A33" s="22" t="n">
        <v>32</v>
      </c>
      <c r="B33" s="25" t="n">
        <f aca="false">'Learning Dashboard'!$B$3+A33-1</f>
        <v>46342</v>
      </c>
      <c r="C33" s="22" t="s">
        <v>93</v>
      </c>
      <c r="D33" s="22" t="s">
        <v>307</v>
      </c>
      <c r="E33" s="22" t="s">
        <v>128</v>
      </c>
      <c r="F33" s="22" t="s">
        <v>308</v>
      </c>
      <c r="G33" s="22" t="s">
        <v>309</v>
      </c>
      <c r="H33" s="22" t="s">
        <v>310</v>
      </c>
      <c r="I33" s="22" t="s">
        <v>311</v>
      </c>
      <c r="J33" s="22" t="s">
        <v>312</v>
      </c>
      <c r="K33" s="22" t="n">
        <v>6</v>
      </c>
      <c r="L33" s="22" t="s">
        <v>313</v>
      </c>
      <c r="M33" s="22" t="s">
        <v>314</v>
      </c>
      <c r="N33" s="26" t="s">
        <v>136</v>
      </c>
      <c r="O33" s="26"/>
      <c r="P33" s="27"/>
      <c r="Q33" s="25" t="str">
        <f aca="false">IF(AND(N33="Completed",P33&lt;&gt;""),P33+3,"")</f>
        <v/>
      </c>
      <c r="R33" s="26"/>
      <c r="S33" s="26"/>
      <c r="T33" s="26"/>
    </row>
    <row r="34" customFormat="false" ht="35.05" hidden="false" customHeight="false" outlineLevel="0" collapsed="false">
      <c r="A34" s="22" t="n">
        <v>33</v>
      </c>
      <c r="B34" s="25" t="n">
        <f aca="false">'Learning Dashboard'!$B$3+A34-1</f>
        <v>46343</v>
      </c>
      <c r="C34" s="22" t="s">
        <v>93</v>
      </c>
      <c r="D34" s="22" t="s">
        <v>299</v>
      </c>
      <c r="E34" s="22" t="s">
        <v>128</v>
      </c>
      <c r="F34" s="22" t="s">
        <v>315</v>
      </c>
      <c r="G34" s="22" t="s">
        <v>316</v>
      </c>
      <c r="H34" s="22" t="s">
        <v>310</v>
      </c>
      <c r="I34" s="22" t="s">
        <v>132</v>
      </c>
      <c r="J34" s="22" t="s">
        <v>317</v>
      </c>
      <c r="K34" s="22" t="n">
        <v>6</v>
      </c>
      <c r="L34" s="22" t="s">
        <v>305</v>
      </c>
      <c r="M34" s="22" t="s">
        <v>318</v>
      </c>
      <c r="N34" s="26" t="s">
        <v>136</v>
      </c>
      <c r="O34" s="26"/>
      <c r="P34" s="27"/>
      <c r="Q34" s="25" t="str">
        <f aca="false">IF(AND(N34="Completed",P34&lt;&gt;""),P34+3,"")</f>
        <v/>
      </c>
      <c r="R34" s="26"/>
      <c r="S34" s="26"/>
      <c r="T34" s="26"/>
    </row>
    <row r="35" customFormat="false" ht="35.05" hidden="false" customHeight="false" outlineLevel="0" collapsed="false">
      <c r="A35" s="22" t="n">
        <v>34</v>
      </c>
      <c r="B35" s="25" t="n">
        <f aca="false">'Learning Dashboard'!$B$3+A35-1</f>
        <v>46344</v>
      </c>
      <c r="C35" s="22" t="s">
        <v>93</v>
      </c>
      <c r="D35" s="22" t="s">
        <v>299</v>
      </c>
      <c r="E35" s="22" t="s">
        <v>128</v>
      </c>
      <c r="F35" s="22" t="s">
        <v>319</v>
      </c>
      <c r="G35" s="22" t="s">
        <v>320</v>
      </c>
      <c r="H35" s="22" t="s">
        <v>310</v>
      </c>
      <c r="I35" s="22" t="s">
        <v>132</v>
      </c>
      <c r="J35" s="22" t="s">
        <v>321</v>
      </c>
      <c r="K35" s="22" t="n">
        <v>6</v>
      </c>
      <c r="L35" s="22" t="s">
        <v>305</v>
      </c>
      <c r="M35" s="22" t="s">
        <v>322</v>
      </c>
      <c r="N35" s="26" t="s">
        <v>136</v>
      </c>
      <c r="O35" s="26"/>
      <c r="P35" s="27"/>
      <c r="Q35" s="25" t="str">
        <f aca="false">IF(AND(N35="Completed",P35&lt;&gt;""),P35+3,"")</f>
        <v/>
      </c>
      <c r="R35" s="26"/>
      <c r="S35" s="26"/>
      <c r="T35" s="26"/>
    </row>
    <row r="36" customFormat="false" ht="23.85" hidden="false" customHeight="false" outlineLevel="0" collapsed="false">
      <c r="A36" s="22" t="n">
        <v>35</v>
      </c>
      <c r="B36" s="25" t="n">
        <f aca="false">'Learning Dashboard'!$B$3+A36-1</f>
        <v>46345</v>
      </c>
      <c r="C36" s="22" t="s">
        <v>93</v>
      </c>
      <c r="D36" s="22" t="s">
        <v>164</v>
      </c>
      <c r="E36" s="22" t="s">
        <v>128</v>
      </c>
      <c r="F36" s="22" t="s">
        <v>323</v>
      </c>
      <c r="G36" s="22" t="s">
        <v>324</v>
      </c>
      <c r="H36" s="22" t="s">
        <v>209</v>
      </c>
      <c r="I36" s="22" t="s">
        <v>132</v>
      </c>
      <c r="J36" s="22" t="s">
        <v>325</v>
      </c>
      <c r="K36" s="22" t="n">
        <v>5</v>
      </c>
      <c r="L36" s="22" t="s">
        <v>169</v>
      </c>
      <c r="M36" s="22" t="s">
        <v>326</v>
      </c>
      <c r="N36" s="26" t="s">
        <v>136</v>
      </c>
      <c r="O36" s="26"/>
      <c r="P36" s="27"/>
      <c r="Q36" s="25" t="str">
        <f aca="false">IF(AND(N36="Completed",P36&lt;&gt;""),P36+3,"")</f>
        <v/>
      </c>
      <c r="R36" s="26"/>
      <c r="S36" s="26"/>
      <c r="T36" s="26"/>
    </row>
    <row r="37" customFormat="false" ht="23.85" hidden="false" customHeight="false" outlineLevel="0" collapsed="false">
      <c r="A37" s="22" t="n">
        <v>36</v>
      </c>
      <c r="B37" s="25" t="n">
        <f aca="false">'Learning Dashboard'!$B$3+A37-1</f>
        <v>46346</v>
      </c>
      <c r="C37" s="22" t="s">
        <v>93</v>
      </c>
      <c r="D37" s="22" t="s">
        <v>307</v>
      </c>
      <c r="E37" s="22" t="s">
        <v>128</v>
      </c>
      <c r="F37" s="22" t="s">
        <v>327</v>
      </c>
      <c r="G37" s="22" t="s">
        <v>328</v>
      </c>
      <c r="H37" s="22" t="s">
        <v>329</v>
      </c>
      <c r="I37" s="22" t="s">
        <v>330</v>
      </c>
      <c r="J37" s="22" t="s">
        <v>331</v>
      </c>
      <c r="K37" s="22" t="n">
        <v>6</v>
      </c>
      <c r="L37" s="22" t="s">
        <v>313</v>
      </c>
      <c r="M37" s="22" t="s">
        <v>332</v>
      </c>
      <c r="N37" s="26" t="s">
        <v>136</v>
      </c>
      <c r="O37" s="26"/>
      <c r="P37" s="27"/>
      <c r="Q37" s="25" t="str">
        <f aca="false">IF(AND(N37="Completed",P37&lt;&gt;""),P37+3,"")</f>
        <v/>
      </c>
      <c r="R37" s="26"/>
      <c r="S37" s="26"/>
      <c r="T37" s="26"/>
    </row>
    <row r="38" customFormat="false" ht="35.05" hidden="false" customHeight="false" outlineLevel="0" collapsed="false">
      <c r="A38" s="22" t="n">
        <v>37</v>
      </c>
      <c r="B38" s="25" t="n">
        <f aca="false">'Learning Dashboard'!$B$3+A38-1</f>
        <v>46347</v>
      </c>
      <c r="C38" s="22" t="s">
        <v>93</v>
      </c>
      <c r="D38" s="22" t="s">
        <v>171</v>
      </c>
      <c r="E38" s="22" t="s">
        <v>288</v>
      </c>
      <c r="F38" s="22" t="s">
        <v>333</v>
      </c>
      <c r="G38" s="22" t="s">
        <v>334</v>
      </c>
      <c r="H38" s="22" t="s">
        <v>310</v>
      </c>
      <c r="I38" s="22" t="s">
        <v>335</v>
      </c>
      <c r="J38" s="22" t="s">
        <v>336</v>
      </c>
      <c r="K38" s="22" t="n">
        <v>6</v>
      </c>
      <c r="L38" s="22" t="s">
        <v>177</v>
      </c>
      <c r="M38" s="22" t="s">
        <v>337</v>
      </c>
      <c r="N38" s="26" t="s">
        <v>136</v>
      </c>
      <c r="O38" s="26"/>
      <c r="P38" s="27"/>
      <c r="Q38" s="25" t="str">
        <f aca="false">IF(AND(N38="Completed",P38&lt;&gt;""),P38+3,"")</f>
        <v/>
      </c>
      <c r="R38" s="26"/>
      <c r="S38" s="26"/>
      <c r="T38" s="26"/>
    </row>
    <row r="39" customFormat="false" ht="35.05" hidden="false" customHeight="false" outlineLevel="0" collapsed="false">
      <c r="A39" s="22" t="n">
        <v>38</v>
      </c>
      <c r="B39" s="25" t="n">
        <f aca="false">'Learning Dashboard'!$B$3+A39-1</f>
        <v>46348</v>
      </c>
      <c r="C39" s="22" t="s">
        <v>93</v>
      </c>
      <c r="D39" s="22" t="s">
        <v>299</v>
      </c>
      <c r="E39" s="22" t="s">
        <v>128</v>
      </c>
      <c r="F39" s="22" t="s">
        <v>338</v>
      </c>
      <c r="G39" s="22" t="s">
        <v>339</v>
      </c>
      <c r="H39" s="22" t="s">
        <v>310</v>
      </c>
      <c r="I39" s="22" t="s">
        <v>340</v>
      </c>
      <c r="J39" s="22" t="s">
        <v>341</v>
      </c>
      <c r="K39" s="22" t="n">
        <v>6</v>
      </c>
      <c r="L39" s="22" t="s">
        <v>305</v>
      </c>
      <c r="M39" s="22" t="s">
        <v>342</v>
      </c>
      <c r="N39" s="26" t="s">
        <v>136</v>
      </c>
      <c r="O39" s="26"/>
      <c r="P39" s="27"/>
      <c r="Q39" s="25" t="str">
        <f aca="false">IF(AND(N39="Completed",P39&lt;&gt;""),P39+3,"")</f>
        <v/>
      </c>
      <c r="R39" s="26"/>
      <c r="S39" s="26"/>
      <c r="T39" s="26"/>
    </row>
    <row r="40" customFormat="false" ht="35.05" hidden="false" customHeight="false" outlineLevel="0" collapsed="false">
      <c r="A40" s="22" t="n">
        <v>39</v>
      </c>
      <c r="B40" s="25" t="n">
        <f aca="false">'Learning Dashboard'!$B$3+A40-1</f>
        <v>46349</v>
      </c>
      <c r="C40" s="22" t="s">
        <v>93</v>
      </c>
      <c r="D40" s="22" t="s">
        <v>307</v>
      </c>
      <c r="E40" s="22" t="s">
        <v>128</v>
      </c>
      <c r="F40" s="22" t="s">
        <v>343</v>
      </c>
      <c r="G40" s="22" t="s">
        <v>344</v>
      </c>
      <c r="H40" s="22" t="s">
        <v>329</v>
      </c>
      <c r="I40" s="22" t="s">
        <v>345</v>
      </c>
      <c r="J40" s="22" t="s">
        <v>346</v>
      </c>
      <c r="K40" s="22" t="n">
        <v>6</v>
      </c>
      <c r="L40" s="22" t="s">
        <v>313</v>
      </c>
      <c r="M40" s="22" t="s">
        <v>347</v>
      </c>
      <c r="N40" s="26" t="s">
        <v>136</v>
      </c>
      <c r="O40" s="26"/>
      <c r="P40" s="27"/>
      <c r="Q40" s="25" t="str">
        <f aca="false">IF(AND(N40="Completed",P40&lt;&gt;""),P40+3,"")</f>
        <v/>
      </c>
      <c r="R40" s="26"/>
      <c r="S40" s="26"/>
      <c r="T40" s="26"/>
    </row>
    <row r="41" customFormat="false" ht="35.05" hidden="false" customHeight="false" outlineLevel="0" collapsed="false">
      <c r="A41" s="22" t="n">
        <v>40</v>
      </c>
      <c r="B41" s="25" t="n">
        <f aca="false">'Learning Dashboard'!$B$3+A41-1</f>
        <v>46350</v>
      </c>
      <c r="C41" s="22" t="s">
        <v>93</v>
      </c>
      <c r="D41" s="22" t="s">
        <v>348</v>
      </c>
      <c r="E41" s="22" t="s">
        <v>128</v>
      </c>
      <c r="F41" s="22" t="s">
        <v>349</v>
      </c>
      <c r="G41" s="22" t="s">
        <v>350</v>
      </c>
      <c r="H41" s="22" t="s">
        <v>351</v>
      </c>
      <c r="I41" s="22" t="s">
        <v>132</v>
      </c>
      <c r="J41" s="22" t="s">
        <v>352</v>
      </c>
      <c r="K41" s="22" t="n">
        <v>6</v>
      </c>
      <c r="L41" s="22" t="s">
        <v>353</v>
      </c>
      <c r="M41" s="22" t="s">
        <v>354</v>
      </c>
      <c r="N41" s="26" t="s">
        <v>136</v>
      </c>
      <c r="O41" s="26"/>
      <c r="P41" s="27"/>
      <c r="Q41" s="25" t="str">
        <f aca="false">IF(AND(N41="Completed",P41&lt;&gt;""),P41+3,"")</f>
        <v/>
      </c>
      <c r="R41" s="26"/>
      <c r="S41" s="26"/>
      <c r="T41" s="26"/>
    </row>
    <row r="42" customFormat="false" ht="57.45" hidden="false" customHeight="false" outlineLevel="0" collapsed="false">
      <c r="A42" s="22" t="n">
        <v>41</v>
      </c>
      <c r="B42" s="25" t="n">
        <f aca="false">'Learning Dashboard'!$B$3+A42-1</f>
        <v>46351</v>
      </c>
      <c r="C42" s="22" t="s">
        <v>94</v>
      </c>
      <c r="D42" s="22" t="s">
        <v>355</v>
      </c>
      <c r="E42" s="22" t="s">
        <v>128</v>
      </c>
      <c r="F42" s="22" t="s">
        <v>356</v>
      </c>
      <c r="G42" s="22" t="s">
        <v>357</v>
      </c>
      <c r="H42" s="22" t="s">
        <v>302</v>
      </c>
      <c r="I42" s="22" t="s">
        <v>358</v>
      </c>
      <c r="J42" s="22" t="s">
        <v>359</v>
      </c>
      <c r="K42" s="22" t="n">
        <v>6</v>
      </c>
      <c r="L42" s="22" t="s">
        <v>360</v>
      </c>
      <c r="M42" s="22" t="s">
        <v>361</v>
      </c>
      <c r="N42" s="26" t="s">
        <v>136</v>
      </c>
      <c r="O42" s="26"/>
      <c r="P42" s="27"/>
      <c r="Q42" s="25" t="str">
        <f aca="false">IF(AND(N42="Completed",P42&lt;&gt;""),P42+3,"")</f>
        <v/>
      </c>
      <c r="R42" s="26"/>
      <c r="S42" s="26"/>
      <c r="T42" s="26"/>
    </row>
    <row r="43" customFormat="false" ht="23.85" hidden="false" customHeight="false" outlineLevel="0" collapsed="false">
      <c r="A43" s="22" t="n">
        <v>42</v>
      </c>
      <c r="B43" s="25" t="n">
        <f aca="false">'Learning Dashboard'!$B$3+A43-1</f>
        <v>46352</v>
      </c>
      <c r="C43" s="22" t="s">
        <v>94</v>
      </c>
      <c r="D43" s="22" t="s">
        <v>164</v>
      </c>
      <c r="E43" s="22" t="s">
        <v>128</v>
      </c>
      <c r="F43" s="22" t="s">
        <v>362</v>
      </c>
      <c r="G43" s="22" t="s">
        <v>363</v>
      </c>
      <c r="H43" s="22" t="s">
        <v>209</v>
      </c>
      <c r="I43" s="22" t="s">
        <v>132</v>
      </c>
      <c r="J43" s="22" t="s">
        <v>364</v>
      </c>
      <c r="K43" s="22" t="n">
        <v>5</v>
      </c>
      <c r="L43" s="22" t="s">
        <v>169</v>
      </c>
      <c r="M43" s="22" t="s">
        <v>326</v>
      </c>
      <c r="N43" s="26" t="s">
        <v>136</v>
      </c>
      <c r="O43" s="26"/>
      <c r="P43" s="27"/>
      <c r="Q43" s="25" t="str">
        <f aca="false">IF(AND(N43="Completed",P43&lt;&gt;""),P43+3,"")</f>
        <v/>
      </c>
      <c r="R43" s="26"/>
      <c r="S43" s="26"/>
      <c r="T43" s="26"/>
    </row>
    <row r="44" customFormat="false" ht="35.05" hidden="false" customHeight="false" outlineLevel="0" collapsed="false">
      <c r="A44" s="22" t="n">
        <v>43</v>
      </c>
      <c r="B44" s="25" t="n">
        <f aca="false">'Learning Dashboard'!$B$3+A44-1</f>
        <v>46353</v>
      </c>
      <c r="C44" s="22" t="s">
        <v>94</v>
      </c>
      <c r="D44" s="22" t="s">
        <v>355</v>
      </c>
      <c r="E44" s="22" t="s">
        <v>128</v>
      </c>
      <c r="F44" s="22" t="s">
        <v>365</v>
      </c>
      <c r="G44" s="22" t="s">
        <v>366</v>
      </c>
      <c r="H44" s="22" t="s">
        <v>310</v>
      </c>
      <c r="I44" s="22" t="s">
        <v>367</v>
      </c>
      <c r="J44" s="22" t="s">
        <v>368</v>
      </c>
      <c r="K44" s="22" t="n">
        <v>6</v>
      </c>
      <c r="L44" s="22" t="s">
        <v>360</v>
      </c>
      <c r="M44" s="22" t="s">
        <v>369</v>
      </c>
      <c r="N44" s="26" t="s">
        <v>136</v>
      </c>
      <c r="O44" s="26"/>
      <c r="P44" s="27"/>
      <c r="Q44" s="25" t="str">
        <f aca="false">IF(AND(N44="Completed",P44&lt;&gt;""),P44+3,"")</f>
        <v/>
      </c>
      <c r="R44" s="26"/>
      <c r="S44" s="26"/>
      <c r="T44" s="26"/>
    </row>
    <row r="45" customFormat="false" ht="35.05" hidden="false" customHeight="false" outlineLevel="0" collapsed="false">
      <c r="A45" s="22" t="n">
        <v>44</v>
      </c>
      <c r="B45" s="25" t="n">
        <f aca="false">'Learning Dashboard'!$B$3+A45-1</f>
        <v>46354</v>
      </c>
      <c r="C45" s="22" t="s">
        <v>94</v>
      </c>
      <c r="D45" s="22" t="s">
        <v>355</v>
      </c>
      <c r="E45" s="22" t="s">
        <v>128</v>
      </c>
      <c r="F45" s="22" t="s">
        <v>370</v>
      </c>
      <c r="G45" s="22" t="s">
        <v>371</v>
      </c>
      <c r="H45" s="22" t="s">
        <v>329</v>
      </c>
      <c r="I45" s="22" t="s">
        <v>372</v>
      </c>
      <c r="J45" s="22" t="s">
        <v>373</v>
      </c>
      <c r="K45" s="22" t="n">
        <v>6</v>
      </c>
      <c r="L45" s="22" t="s">
        <v>360</v>
      </c>
      <c r="M45" s="22" t="s">
        <v>374</v>
      </c>
      <c r="N45" s="26" t="s">
        <v>136</v>
      </c>
      <c r="O45" s="26"/>
      <c r="P45" s="27"/>
      <c r="Q45" s="25" t="str">
        <f aca="false">IF(AND(N45="Completed",P45&lt;&gt;""),P45+3,"")</f>
        <v/>
      </c>
      <c r="R45" s="26"/>
      <c r="S45" s="26"/>
      <c r="T45" s="26"/>
    </row>
    <row r="46" customFormat="false" ht="23.85" hidden="false" customHeight="false" outlineLevel="0" collapsed="false">
      <c r="A46" s="22" t="n">
        <v>45</v>
      </c>
      <c r="B46" s="25" t="n">
        <f aca="false">'Learning Dashboard'!$B$3+A46-1</f>
        <v>46355</v>
      </c>
      <c r="C46" s="22" t="s">
        <v>94</v>
      </c>
      <c r="D46" s="22" t="s">
        <v>127</v>
      </c>
      <c r="E46" s="22" t="s">
        <v>128</v>
      </c>
      <c r="F46" s="22" t="s">
        <v>375</v>
      </c>
      <c r="G46" s="22" t="s">
        <v>376</v>
      </c>
      <c r="H46" s="22" t="s">
        <v>377</v>
      </c>
      <c r="I46" s="22" t="s">
        <v>378</v>
      </c>
      <c r="J46" s="22" t="s">
        <v>379</v>
      </c>
      <c r="K46" s="22" t="n">
        <v>6</v>
      </c>
      <c r="L46" s="22" t="s">
        <v>134</v>
      </c>
      <c r="M46" s="22" t="s">
        <v>380</v>
      </c>
      <c r="N46" s="26" t="s">
        <v>136</v>
      </c>
      <c r="O46" s="26"/>
      <c r="P46" s="27"/>
      <c r="Q46" s="25" t="str">
        <f aca="false">IF(AND(N46="Completed",P46&lt;&gt;""),P46+3,"")</f>
        <v/>
      </c>
      <c r="R46" s="26"/>
      <c r="S46" s="26"/>
      <c r="T46" s="26"/>
    </row>
    <row r="47" customFormat="false" ht="35.05" hidden="false" customHeight="false" outlineLevel="0" collapsed="false">
      <c r="A47" s="22" t="n">
        <v>46</v>
      </c>
      <c r="B47" s="25" t="n">
        <f aca="false">'Learning Dashboard'!$B$3+A47-1</f>
        <v>46356</v>
      </c>
      <c r="C47" s="22" t="s">
        <v>94</v>
      </c>
      <c r="D47" s="22" t="s">
        <v>299</v>
      </c>
      <c r="E47" s="22" t="s">
        <v>128</v>
      </c>
      <c r="F47" s="22" t="s">
        <v>381</v>
      </c>
      <c r="G47" s="22" t="s">
        <v>382</v>
      </c>
      <c r="H47" s="22" t="s">
        <v>310</v>
      </c>
      <c r="I47" s="22" t="s">
        <v>383</v>
      </c>
      <c r="J47" s="22" t="s">
        <v>384</v>
      </c>
      <c r="K47" s="22" t="n">
        <v>6</v>
      </c>
      <c r="L47" s="22" t="s">
        <v>305</v>
      </c>
      <c r="M47" s="22" t="s">
        <v>385</v>
      </c>
      <c r="N47" s="26" t="s">
        <v>136</v>
      </c>
      <c r="O47" s="26"/>
      <c r="P47" s="27"/>
      <c r="Q47" s="25" t="str">
        <f aca="false">IF(AND(N47="Completed",P47&lt;&gt;""),P47+3,"")</f>
        <v/>
      </c>
      <c r="R47" s="26"/>
      <c r="S47" s="26"/>
      <c r="T47" s="26"/>
    </row>
    <row r="48" customFormat="false" ht="46.25" hidden="false" customHeight="false" outlineLevel="0" collapsed="false">
      <c r="A48" s="22" t="n">
        <v>47</v>
      </c>
      <c r="B48" s="25" t="n">
        <f aca="false">'Learning Dashboard'!$B$3+A48-1</f>
        <v>46357</v>
      </c>
      <c r="C48" s="22" t="s">
        <v>94</v>
      </c>
      <c r="D48" s="22" t="s">
        <v>271</v>
      </c>
      <c r="E48" s="22" t="s">
        <v>128</v>
      </c>
      <c r="F48" s="22" t="s">
        <v>386</v>
      </c>
      <c r="G48" s="22" t="s">
        <v>387</v>
      </c>
      <c r="H48" s="22" t="s">
        <v>310</v>
      </c>
      <c r="I48" s="22" t="s">
        <v>388</v>
      </c>
      <c r="J48" s="22" t="s">
        <v>389</v>
      </c>
      <c r="K48" s="22" t="n">
        <v>6</v>
      </c>
      <c r="L48" s="22" t="s">
        <v>276</v>
      </c>
      <c r="M48" s="22" t="s">
        <v>390</v>
      </c>
      <c r="N48" s="26" t="s">
        <v>136</v>
      </c>
      <c r="O48" s="26"/>
      <c r="P48" s="27"/>
      <c r="Q48" s="25" t="str">
        <f aca="false">IF(AND(N48="Completed",P48&lt;&gt;""),P48+3,"")</f>
        <v/>
      </c>
      <c r="R48" s="26"/>
      <c r="S48" s="26"/>
      <c r="T48" s="26"/>
    </row>
    <row r="49" customFormat="false" ht="23.85" hidden="false" customHeight="false" outlineLevel="0" collapsed="false">
      <c r="A49" s="22" t="n">
        <v>48</v>
      </c>
      <c r="B49" s="25" t="n">
        <f aca="false">'Learning Dashboard'!$B$3+A49-1</f>
        <v>46358</v>
      </c>
      <c r="C49" s="22" t="s">
        <v>94</v>
      </c>
      <c r="D49" s="22" t="s">
        <v>299</v>
      </c>
      <c r="E49" s="22" t="s">
        <v>128</v>
      </c>
      <c r="F49" s="22" t="s">
        <v>391</v>
      </c>
      <c r="G49" s="22" t="s">
        <v>392</v>
      </c>
      <c r="H49" s="22" t="s">
        <v>310</v>
      </c>
      <c r="I49" s="22" t="s">
        <v>393</v>
      </c>
      <c r="J49" s="22" t="s">
        <v>394</v>
      </c>
      <c r="K49" s="22" t="n">
        <v>6</v>
      </c>
      <c r="L49" s="22" t="s">
        <v>254</v>
      </c>
      <c r="M49" s="22" t="s">
        <v>395</v>
      </c>
      <c r="N49" s="26" t="s">
        <v>136</v>
      </c>
      <c r="O49" s="26"/>
      <c r="P49" s="27"/>
      <c r="Q49" s="25" t="str">
        <f aca="false">IF(AND(N49="Completed",P49&lt;&gt;""),P49+3,"")</f>
        <v/>
      </c>
      <c r="R49" s="26"/>
      <c r="S49" s="26"/>
      <c r="T49" s="26"/>
    </row>
    <row r="50" customFormat="false" ht="23.85" hidden="false" customHeight="false" outlineLevel="0" collapsed="false">
      <c r="A50" s="22" t="n">
        <v>49</v>
      </c>
      <c r="B50" s="25" t="n">
        <f aca="false">'Learning Dashboard'!$B$3+A50-1</f>
        <v>46359</v>
      </c>
      <c r="C50" s="22" t="s">
        <v>94</v>
      </c>
      <c r="D50" s="22" t="s">
        <v>164</v>
      </c>
      <c r="E50" s="22" t="s">
        <v>128</v>
      </c>
      <c r="F50" s="22" t="s">
        <v>396</v>
      </c>
      <c r="G50" s="22" t="s">
        <v>397</v>
      </c>
      <c r="H50" s="22" t="s">
        <v>209</v>
      </c>
      <c r="I50" s="22" t="s">
        <v>132</v>
      </c>
      <c r="J50" s="22" t="s">
        <v>398</v>
      </c>
      <c r="K50" s="22" t="n">
        <v>5</v>
      </c>
      <c r="L50" s="22" t="s">
        <v>169</v>
      </c>
      <c r="M50" s="22" t="s">
        <v>326</v>
      </c>
      <c r="N50" s="26" t="s">
        <v>136</v>
      </c>
      <c r="O50" s="26"/>
      <c r="P50" s="27"/>
      <c r="Q50" s="25" t="str">
        <f aca="false">IF(AND(N50="Completed",P50&lt;&gt;""),P50+3,"")</f>
        <v/>
      </c>
      <c r="R50" s="26"/>
      <c r="S50" s="26"/>
      <c r="T50" s="26"/>
    </row>
    <row r="51" customFormat="false" ht="35.05" hidden="false" customHeight="false" outlineLevel="0" collapsed="false">
      <c r="A51" s="22" t="n">
        <v>50</v>
      </c>
      <c r="B51" s="25" t="n">
        <f aca="false">'Learning Dashboard'!$B$3+A51-1</f>
        <v>46360</v>
      </c>
      <c r="C51" s="22" t="s">
        <v>94</v>
      </c>
      <c r="D51" s="22" t="s">
        <v>287</v>
      </c>
      <c r="E51" s="22" t="s">
        <v>128</v>
      </c>
      <c r="F51" s="22" t="s">
        <v>399</v>
      </c>
      <c r="G51" s="22" t="s">
        <v>400</v>
      </c>
      <c r="H51" s="22" t="s">
        <v>329</v>
      </c>
      <c r="I51" s="22" t="s">
        <v>401</v>
      </c>
      <c r="J51" s="22" t="s">
        <v>402</v>
      </c>
      <c r="K51" s="22" t="n">
        <v>6</v>
      </c>
      <c r="L51" s="22" t="s">
        <v>313</v>
      </c>
      <c r="M51" s="22" t="s">
        <v>403</v>
      </c>
      <c r="N51" s="26" t="s">
        <v>136</v>
      </c>
      <c r="O51" s="26"/>
      <c r="P51" s="27"/>
      <c r="Q51" s="25" t="str">
        <f aca="false">IF(AND(N51="Completed",P51&lt;&gt;""),P51+3,"")</f>
        <v/>
      </c>
      <c r="R51" s="26"/>
      <c r="S51" s="26"/>
      <c r="T51" s="26"/>
    </row>
    <row r="52" customFormat="false" ht="35.05" hidden="false" customHeight="false" outlineLevel="0" collapsed="false">
      <c r="A52" s="22" t="n">
        <v>51</v>
      </c>
      <c r="B52" s="25" t="n">
        <f aca="false">'Learning Dashboard'!$B$3+A52-1</f>
        <v>46361</v>
      </c>
      <c r="C52" s="22" t="s">
        <v>95</v>
      </c>
      <c r="D52" s="22" t="s">
        <v>307</v>
      </c>
      <c r="E52" s="22" t="s">
        <v>128</v>
      </c>
      <c r="F52" s="22" t="s">
        <v>404</v>
      </c>
      <c r="G52" s="22" t="s">
        <v>405</v>
      </c>
      <c r="H52" s="22" t="s">
        <v>329</v>
      </c>
      <c r="I52" s="22" t="s">
        <v>406</v>
      </c>
      <c r="J52" s="22" t="s">
        <v>407</v>
      </c>
      <c r="K52" s="22" t="n">
        <v>6</v>
      </c>
      <c r="L52" s="22" t="s">
        <v>313</v>
      </c>
      <c r="M52" s="22" t="s">
        <v>408</v>
      </c>
      <c r="N52" s="26" t="s">
        <v>136</v>
      </c>
      <c r="O52" s="26"/>
      <c r="P52" s="27"/>
      <c r="Q52" s="25" t="str">
        <f aca="false">IF(AND(N52="Completed",P52&lt;&gt;""),P52+3,"")</f>
        <v/>
      </c>
      <c r="R52" s="26"/>
      <c r="S52" s="26"/>
      <c r="T52" s="26"/>
    </row>
    <row r="53" customFormat="false" ht="23.85" hidden="false" customHeight="false" outlineLevel="0" collapsed="false">
      <c r="A53" s="22" t="n">
        <v>52</v>
      </c>
      <c r="B53" s="25" t="n">
        <f aca="false">'Learning Dashboard'!$B$3+A53-1</f>
        <v>46362</v>
      </c>
      <c r="C53" s="22" t="s">
        <v>95</v>
      </c>
      <c r="D53" s="22" t="s">
        <v>409</v>
      </c>
      <c r="E53" s="22" t="s">
        <v>128</v>
      </c>
      <c r="F53" s="22" t="s">
        <v>410</v>
      </c>
      <c r="G53" s="22" t="s">
        <v>411</v>
      </c>
      <c r="H53" s="22" t="s">
        <v>412</v>
      </c>
      <c r="I53" s="22" t="s">
        <v>132</v>
      </c>
      <c r="J53" s="22" t="s">
        <v>413</v>
      </c>
      <c r="K53" s="22" t="n">
        <v>6</v>
      </c>
      <c r="L53" s="22" t="s">
        <v>169</v>
      </c>
      <c r="M53" s="22" t="s">
        <v>414</v>
      </c>
      <c r="N53" s="26" t="s">
        <v>136</v>
      </c>
      <c r="O53" s="26"/>
      <c r="P53" s="27"/>
      <c r="Q53" s="25" t="str">
        <f aca="false">IF(AND(N53="Completed",P53&lt;&gt;""),P53+3,"")</f>
        <v/>
      </c>
      <c r="R53" s="26"/>
      <c r="S53" s="26"/>
      <c r="T53" s="26"/>
    </row>
    <row r="54" customFormat="false" ht="23.85" hidden="false" customHeight="false" outlineLevel="0" collapsed="false">
      <c r="A54" s="22" t="n">
        <v>53</v>
      </c>
      <c r="B54" s="25" t="n">
        <f aca="false">'Learning Dashboard'!$B$3+A54-1</f>
        <v>46363</v>
      </c>
      <c r="C54" s="22" t="s">
        <v>95</v>
      </c>
      <c r="D54" s="22" t="s">
        <v>409</v>
      </c>
      <c r="E54" s="22" t="s">
        <v>128</v>
      </c>
      <c r="F54" s="22" t="s">
        <v>415</v>
      </c>
      <c r="G54" s="22" t="s">
        <v>416</v>
      </c>
      <c r="H54" s="22" t="s">
        <v>412</v>
      </c>
      <c r="I54" s="22" t="s">
        <v>132</v>
      </c>
      <c r="J54" s="22" t="s">
        <v>417</v>
      </c>
      <c r="K54" s="22" t="n">
        <v>6</v>
      </c>
      <c r="L54" s="22" t="s">
        <v>169</v>
      </c>
      <c r="M54" s="22" t="s">
        <v>414</v>
      </c>
      <c r="N54" s="26" t="s">
        <v>136</v>
      </c>
      <c r="O54" s="26"/>
      <c r="P54" s="27"/>
      <c r="Q54" s="25" t="str">
        <f aca="false">IF(AND(N54="Completed",P54&lt;&gt;""),P54+3,"")</f>
        <v/>
      </c>
      <c r="R54" s="26"/>
      <c r="S54" s="26"/>
      <c r="T54" s="26"/>
    </row>
    <row r="55" customFormat="false" ht="23.85" hidden="false" customHeight="false" outlineLevel="0" collapsed="false">
      <c r="A55" s="22" t="n">
        <v>54</v>
      </c>
      <c r="B55" s="25" t="n">
        <f aca="false">'Learning Dashboard'!$B$3+A55-1</f>
        <v>46364</v>
      </c>
      <c r="C55" s="22" t="s">
        <v>95</v>
      </c>
      <c r="D55" s="22" t="s">
        <v>418</v>
      </c>
      <c r="E55" s="22" t="s">
        <v>128</v>
      </c>
      <c r="F55" s="22" t="s">
        <v>419</v>
      </c>
      <c r="G55" s="22" t="s">
        <v>420</v>
      </c>
      <c r="H55" s="22" t="s">
        <v>421</v>
      </c>
      <c r="I55" s="22" t="s">
        <v>132</v>
      </c>
      <c r="J55" s="22" t="s">
        <v>422</v>
      </c>
      <c r="K55" s="22" t="n">
        <v>6</v>
      </c>
      <c r="L55" s="22" t="s">
        <v>353</v>
      </c>
      <c r="M55" s="22" t="s">
        <v>423</v>
      </c>
      <c r="N55" s="26" t="s">
        <v>136</v>
      </c>
      <c r="O55" s="26"/>
      <c r="P55" s="27"/>
      <c r="Q55" s="25" t="str">
        <f aca="false">IF(AND(N55="Completed",P55&lt;&gt;""),P55+3,"")</f>
        <v/>
      </c>
      <c r="R55" s="26"/>
      <c r="S55" s="26"/>
      <c r="T55" s="26"/>
    </row>
    <row r="56" customFormat="false" ht="23.85" hidden="false" customHeight="false" outlineLevel="0" collapsed="false">
      <c r="A56" s="22" t="n">
        <v>55</v>
      </c>
      <c r="B56" s="25" t="n">
        <f aca="false">'Learning Dashboard'!$B$3+A56-1</f>
        <v>46365</v>
      </c>
      <c r="C56" s="22" t="s">
        <v>95</v>
      </c>
      <c r="D56" s="22" t="s">
        <v>424</v>
      </c>
      <c r="E56" s="22" t="s">
        <v>128</v>
      </c>
      <c r="F56" s="22" t="s">
        <v>425</v>
      </c>
      <c r="G56" s="22" t="s">
        <v>426</v>
      </c>
      <c r="H56" s="22" t="s">
        <v>427</v>
      </c>
      <c r="I56" s="22" t="s">
        <v>132</v>
      </c>
      <c r="J56" s="22" t="s">
        <v>428</v>
      </c>
      <c r="K56" s="22" t="n">
        <v>6</v>
      </c>
      <c r="L56" s="22" t="s">
        <v>134</v>
      </c>
      <c r="M56" s="22" t="s">
        <v>429</v>
      </c>
      <c r="N56" s="26" t="s">
        <v>136</v>
      </c>
      <c r="O56" s="26"/>
      <c r="P56" s="27"/>
      <c r="Q56" s="25" t="str">
        <f aca="false">IF(AND(N56="Completed",P56&lt;&gt;""),P56+3,"")</f>
        <v/>
      </c>
      <c r="R56" s="26"/>
      <c r="S56" s="26"/>
      <c r="T56" s="26"/>
    </row>
    <row r="57" customFormat="false" ht="23.85" hidden="false" customHeight="false" outlineLevel="0" collapsed="false">
      <c r="A57" s="22" t="n">
        <v>56</v>
      </c>
      <c r="B57" s="25" t="n">
        <f aca="false">'Learning Dashboard'!$B$3+A57-1</f>
        <v>46366</v>
      </c>
      <c r="C57" s="22" t="s">
        <v>95</v>
      </c>
      <c r="D57" s="22" t="s">
        <v>164</v>
      </c>
      <c r="E57" s="22" t="s">
        <v>128</v>
      </c>
      <c r="F57" s="22" t="s">
        <v>430</v>
      </c>
      <c r="G57" s="22" t="s">
        <v>431</v>
      </c>
      <c r="H57" s="22" t="s">
        <v>209</v>
      </c>
      <c r="I57" s="22" t="s">
        <v>132</v>
      </c>
      <c r="J57" s="22" t="s">
        <v>432</v>
      </c>
      <c r="K57" s="22" t="n">
        <v>5</v>
      </c>
      <c r="L57" s="22" t="s">
        <v>169</v>
      </c>
      <c r="M57" s="22" t="s">
        <v>326</v>
      </c>
      <c r="N57" s="26" t="s">
        <v>136</v>
      </c>
      <c r="O57" s="26"/>
      <c r="P57" s="27"/>
      <c r="Q57" s="25" t="str">
        <f aca="false">IF(AND(N57="Completed",P57&lt;&gt;""),P57+3,"")</f>
        <v/>
      </c>
      <c r="R57" s="26"/>
      <c r="S57" s="26"/>
      <c r="T57" s="26"/>
    </row>
    <row r="58" customFormat="false" ht="23.85" hidden="false" customHeight="false" outlineLevel="0" collapsed="false">
      <c r="A58" s="22" t="n">
        <v>57</v>
      </c>
      <c r="B58" s="25" t="n">
        <f aca="false">'Learning Dashboard'!$B$3+A58-1</f>
        <v>46367</v>
      </c>
      <c r="C58" s="22" t="s">
        <v>95</v>
      </c>
      <c r="D58" s="22" t="s">
        <v>424</v>
      </c>
      <c r="E58" s="22" t="s">
        <v>128</v>
      </c>
      <c r="F58" s="22" t="s">
        <v>433</v>
      </c>
      <c r="G58" s="22" t="s">
        <v>434</v>
      </c>
      <c r="H58" s="22" t="s">
        <v>132</v>
      </c>
      <c r="I58" s="22" t="s">
        <v>378</v>
      </c>
      <c r="J58" s="22" t="s">
        <v>435</v>
      </c>
      <c r="K58" s="22" t="n">
        <v>6</v>
      </c>
      <c r="L58" s="22" t="s">
        <v>134</v>
      </c>
      <c r="M58" s="22" t="s">
        <v>436</v>
      </c>
      <c r="N58" s="26" t="s">
        <v>136</v>
      </c>
      <c r="O58" s="26"/>
      <c r="P58" s="27"/>
      <c r="Q58" s="25" t="str">
        <f aca="false">IF(AND(N58="Completed",P58&lt;&gt;""),P58+3,"")</f>
        <v/>
      </c>
      <c r="R58" s="26"/>
      <c r="S58" s="26"/>
      <c r="T58" s="26"/>
    </row>
    <row r="59" customFormat="false" ht="35.05" hidden="false" customHeight="false" outlineLevel="0" collapsed="false">
      <c r="A59" s="22" t="n">
        <v>58</v>
      </c>
      <c r="B59" s="25" t="n">
        <f aca="false">'Learning Dashboard'!$B$3+A59-1</f>
        <v>46368</v>
      </c>
      <c r="C59" s="22" t="s">
        <v>95</v>
      </c>
      <c r="D59" s="22" t="s">
        <v>437</v>
      </c>
      <c r="E59" s="22" t="s">
        <v>128</v>
      </c>
      <c r="F59" s="22" t="s">
        <v>438</v>
      </c>
      <c r="G59" s="22" t="s">
        <v>439</v>
      </c>
      <c r="H59" s="22" t="s">
        <v>440</v>
      </c>
      <c r="I59" s="22" t="s">
        <v>132</v>
      </c>
      <c r="J59" s="22" t="s">
        <v>441</v>
      </c>
      <c r="K59" s="22" t="n">
        <v>6</v>
      </c>
      <c r="L59" s="22" t="s">
        <v>134</v>
      </c>
      <c r="M59" s="22" t="s">
        <v>442</v>
      </c>
      <c r="N59" s="26" t="s">
        <v>136</v>
      </c>
      <c r="O59" s="26"/>
      <c r="P59" s="27"/>
      <c r="Q59" s="25" t="str">
        <f aca="false">IF(AND(N59="Completed",P59&lt;&gt;""),P59+3,"")</f>
        <v/>
      </c>
      <c r="R59" s="26"/>
      <c r="S59" s="26"/>
      <c r="T59" s="26"/>
    </row>
    <row r="60" customFormat="false" ht="23.85" hidden="false" customHeight="false" outlineLevel="0" collapsed="false">
      <c r="A60" s="22" t="n">
        <v>59</v>
      </c>
      <c r="B60" s="25" t="n">
        <f aca="false">'Learning Dashboard'!$B$3+A60-1</f>
        <v>46369</v>
      </c>
      <c r="C60" s="22" t="s">
        <v>95</v>
      </c>
      <c r="D60" s="22" t="s">
        <v>424</v>
      </c>
      <c r="E60" s="22" t="s">
        <v>128</v>
      </c>
      <c r="F60" s="22" t="s">
        <v>443</v>
      </c>
      <c r="G60" s="22" t="s">
        <v>444</v>
      </c>
      <c r="H60" s="22" t="s">
        <v>445</v>
      </c>
      <c r="I60" s="22" t="s">
        <v>446</v>
      </c>
      <c r="J60" s="22" t="s">
        <v>447</v>
      </c>
      <c r="K60" s="22" t="n">
        <v>6</v>
      </c>
      <c r="L60" s="22" t="s">
        <v>134</v>
      </c>
      <c r="M60" s="22" t="s">
        <v>448</v>
      </c>
      <c r="N60" s="26" t="s">
        <v>136</v>
      </c>
      <c r="O60" s="26"/>
      <c r="P60" s="27"/>
      <c r="Q60" s="25" t="str">
        <f aca="false">IF(AND(N60="Completed",P60&lt;&gt;""),P60+3,"")</f>
        <v/>
      </c>
      <c r="R60" s="26"/>
      <c r="S60" s="26"/>
      <c r="T60" s="26"/>
    </row>
    <row r="61" customFormat="false" ht="35.05" hidden="false" customHeight="false" outlineLevel="0" collapsed="false">
      <c r="A61" s="22" t="n">
        <v>60</v>
      </c>
      <c r="B61" s="25" t="n">
        <f aca="false">'Learning Dashboard'!$B$3+A61-1</f>
        <v>46370</v>
      </c>
      <c r="C61" s="22" t="s">
        <v>95</v>
      </c>
      <c r="D61" s="22" t="s">
        <v>127</v>
      </c>
      <c r="E61" s="22" t="s">
        <v>128</v>
      </c>
      <c r="F61" s="22" t="s">
        <v>449</v>
      </c>
      <c r="G61" s="22" t="s">
        <v>450</v>
      </c>
      <c r="H61" s="22" t="s">
        <v>377</v>
      </c>
      <c r="I61" s="22" t="s">
        <v>132</v>
      </c>
      <c r="J61" s="22" t="s">
        <v>451</v>
      </c>
      <c r="K61" s="22" t="n">
        <v>6</v>
      </c>
      <c r="L61" s="22" t="s">
        <v>134</v>
      </c>
      <c r="M61" s="22" t="s">
        <v>452</v>
      </c>
      <c r="N61" s="26" t="s">
        <v>136</v>
      </c>
      <c r="O61" s="26"/>
      <c r="P61" s="27"/>
      <c r="Q61" s="25" t="str">
        <f aca="false">IF(AND(N61="Completed",P61&lt;&gt;""),P61+3,"")</f>
        <v/>
      </c>
      <c r="R61" s="26"/>
      <c r="S61" s="26"/>
      <c r="T61" s="26"/>
    </row>
    <row r="63" customFormat="false" ht="15" hidden="false" customHeight="false" outlineLevel="0" collapsed="false">
      <c r="A63" s="16" t="s">
        <v>453</v>
      </c>
    </row>
  </sheetData>
  <autoFilter ref="A1:T61"/>
  <conditionalFormatting sqref="N2:N61">
    <cfRule type="cellIs" priority="2" operator="equal" aboveAverage="0" equalAverage="0" bottom="0" percent="0" rank="0" text="" dxfId="4">
      <formula>"Completed"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3">
    <dataValidation allowBlank="true" errorStyle="stop" operator="between" showDropDown="false" showErrorMessage="false" showInputMessage="false" sqref="N2:N61" type="list">
      <formula1>"Not Started,In Progress,Blocked,Completed"</formula1>
      <formula2>0</formula2>
    </dataValidation>
    <dataValidation allowBlank="true" errorStyle="stop" operator="between" showDropDown="false" showErrorMessage="false" showInputMessage="false" sqref="O2:O61" type="list">
      <formula1>"1,2,3,4,5"</formula1>
      <formula2>0</formula2>
    </dataValidation>
    <dataValidation allowBlank="true" errorStyle="stop" operator="between" showDropDown="false" showErrorMessage="false" showInputMessage="false" sqref="E2:E61" type="list">
      <formula1>"Essential,Important,Optional"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90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6"/>
  </cols>
  <sheetData>
    <row r="1" customFormat="false" ht="33.75" hidden="false" customHeight="true" outlineLevel="0" collapsed="false">
      <c r="A1" s="21" t="s">
        <v>108</v>
      </c>
      <c r="B1" s="21" t="s">
        <v>109</v>
      </c>
      <c r="C1" s="21" t="s">
        <v>454</v>
      </c>
      <c r="D1" s="21" t="s">
        <v>455</v>
      </c>
      <c r="E1" s="21" t="s">
        <v>456</v>
      </c>
      <c r="F1" s="21" t="s">
        <v>117</v>
      </c>
      <c r="G1" s="21" t="s">
        <v>120</v>
      </c>
      <c r="H1" s="21" t="s">
        <v>121</v>
      </c>
      <c r="I1" s="21" t="s">
        <v>122</v>
      </c>
      <c r="J1" s="21" t="s">
        <v>457</v>
      </c>
    </row>
    <row r="2" customFormat="false" ht="35.05" hidden="false" customHeight="false" outlineLevel="0" collapsed="false">
      <c r="A2" s="22" t="n">
        <v>1</v>
      </c>
      <c r="B2" s="25" t="n">
        <f aca="false">'Learning Dashboard'!$B$3+A2-1</f>
        <v>46311</v>
      </c>
      <c r="C2" s="22" t="s">
        <v>458</v>
      </c>
      <c r="D2" s="22" t="str">
        <f aca="false">'60-Day Plan'!F2&amp;"  +  "&amp;'60-Day Plan'!F3</f>
        <v>Baseline assessment and environment setup  +  Data types, mutability, comprehensions, functions, *args/**kwargs, scope (LEGB), shallow vs deep copy</v>
      </c>
      <c r="E2" s="22" t="s">
        <v>459</v>
      </c>
      <c r="F2" s="22" t="n">
        <v>7</v>
      </c>
      <c r="G2" s="26" t="s">
        <v>136</v>
      </c>
      <c r="H2" s="26"/>
      <c r="I2" s="27"/>
      <c r="J2" s="26"/>
    </row>
    <row r="3" customFormat="false" ht="35.05" hidden="false" customHeight="false" outlineLevel="0" collapsed="false">
      <c r="A3" s="22" t="n">
        <v>2</v>
      </c>
      <c r="B3" s="25" t="n">
        <f aca="false">'Learning Dashboard'!$B$3+A3-1</f>
        <v>46312</v>
      </c>
      <c r="C3" s="22" t="s">
        <v>460</v>
      </c>
      <c r="D3" s="22" t="str">
        <f aca="false">'60-Day Plan'!F4&amp;"  +  "&amp;'60-Day Plan'!F5</f>
        <v>OOP 1: classes, instance/class/static methods, inheritance, polymorphism, encapsulation, ABCs  +  OOP 2: MRO, super(), multiple inheritance, dunder methods, properties, descriptors, dataclasses</v>
      </c>
      <c r="E3" s="22" t="s">
        <v>459</v>
      </c>
      <c r="F3" s="22" t="n">
        <v>7</v>
      </c>
      <c r="G3" s="26" t="s">
        <v>136</v>
      </c>
      <c r="H3" s="26"/>
      <c r="I3" s="27"/>
      <c r="J3" s="26"/>
    </row>
    <row r="4" customFormat="false" ht="35.05" hidden="false" customHeight="false" outlineLevel="0" collapsed="false">
      <c r="A4" s="22" t="n">
        <v>3</v>
      </c>
      <c r="B4" s="25" t="n">
        <f aca="false">'Learning Dashboard'!$B$3+A4-1</f>
        <v>46313</v>
      </c>
      <c r="C4" s="22" t="s">
        <v>461</v>
      </c>
      <c r="D4" s="22" t="str">
        <f aca="false">'60-Day Plan'!F6&amp;"  +  "&amp;'60-Day Plan'!F7</f>
        <v>Exceptions, custom exceptions, file handling, logging, pytest (fixtures, parametrize), mocking  +  Iterators, generators, decorators, closures, context managers</v>
      </c>
      <c r="E4" s="22" t="s">
        <v>459</v>
      </c>
      <c r="F4" s="22" t="n">
        <v>7</v>
      </c>
      <c r="G4" s="26" t="s">
        <v>136</v>
      </c>
      <c r="H4" s="26"/>
      <c r="I4" s="27"/>
      <c r="J4" s="26"/>
    </row>
    <row r="5" customFormat="false" ht="35.05" hidden="false" customHeight="false" outlineLevel="0" collapsed="false">
      <c r="A5" s="22" t="n">
        <v>4</v>
      </c>
      <c r="B5" s="25" t="n">
        <f aca="false">'Learning Dashboard'!$B$3+A5-1</f>
        <v>46314</v>
      </c>
      <c r="C5" s="22" t="s">
        <v>462</v>
      </c>
      <c r="D5" s="22" t="str">
        <f aca="false">'60-Day Plan'!F8&amp;"  +  "&amp;'60-Day Plan'!F9</f>
        <v>Week 1 review and weekly test  +  SQL 1: joins, aggregation, GROUP BY/HAVING, keys, constraints, relationships</v>
      </c>
      <c r="E5" s="22" t="s">
        <v>459</v>
      </c>
      <c r="F5" s="22" t="n">
        <v>7</v>
      </c>
      <c r="G5" s="26" t="s">
        <v>136</v>
      </c>
      <c r="H5" s="26"/>
      <c r="I5" s="27"/>
      <c r="J5" s="26"/>
    </row>
    <row r="6" customFormat="false" ht="35.05" hidden="false" customHeight="false" outlineLevel="0" collapsed="false">
      <c r="A6" s="22" t="n">
        <v>5</v>
      </c>
      <c r="B6" s="25" t="n">
        <f aca="false">'Learning Dashboard'!$B$3+A6-1</f>
        <v>46315</v>
      </c>
      <c r="C6" s="22" t="s">
        <v>463</v>
      </c>
      <c r="D6" s="22" t="str">
        <f aca="false">'60-Day Plan'!F10&amp;"  +  "&amp;'60-Day Plan'!F11</f>
        <v>SQL 2: subqueries, CTEs, set operations, window functions (ROW_NUMBER, RANK, LAG)  +  SQL 3: indexes (B-tree, composite), EXPLAIN ANALYZE, normalization vs denormalization. Phase 1 checkpoint</v>
      </c>
      <c r="E6" s="22" t="s">
        <v>459</v>
      </c>
      <c r="F6" s="22" t="n">
        <v>7</v>
      </c>
      <c r="G6" s="26" t="s">
        <v>136</v>
      </c>
      <c r="H6" s="26"/>
      <c r="I6" s="27"/>
      <c r="J6" s="26"/>
    </row>
    <row r="7" customFormat="false" ht="35.05" hidden="false" customHeight="false" outlineLevel="0" collapsed="false">
      <c r="A7" s="22" t="n">
        <v>6</v>
      </c>
      <c r="B7" s="25" t="n">
        <f aca="false">'Learning Dashboard'!$B$3+A7-1</f>
        <v>46316</v>
      </c>
      <c r="C7" s="22" t="s">
        <v>464</v>
      </c>
      <c r="D7" s="22" t="str">
        <f aca="false">'60-Day Plan'!F12&amp;"  +  "&amp;'60-Day Plan'!F13</f>
        <v>Concurrency: GIL, threading vs multiprocessing, asyncio/await, concurrency vs parallelism  +  Django architecture: project/app layout, request-response lifecycle, URLs, views, middleware, settings, environment config, REST/HTTP semantics</v>
      </c>
      <c r="E7" s="22" t="s">
        <v>459</v>
      </c>
      <c r="F7" s="22" t="n">
        <v>7</v>
      </c>
      <c r="G7" s="26" t="s">
        <v>136</v>
      </c>
      <c r="H7" s="26"/>
      <c r="I7" s="27"/>
      <c r="J7" s="26"/>
    </row>
    <row r="8" customFormat="false" ht="35.05" hidden="false" customHeight="false" outlineLevel="0" collapsed="false">
      <c r="A8" s="22" t="n">
        <v>7</v>
      </c>
      <c r="B8" s="25" t="n">
        <f aca="false">'Learning Dashboard'!$B$3+A8-1</f>
        <v>46317</v>
      </c>
      <c r="C8" s="22" t="s">
        <v>465</v>
      </c>
      <c r="D8" s="22" t="str">
        <f aca="false">'60-Day Plan'!F14&amp;"  +  "&amp;'60-Day Plan'!F15</f>
        <v>Django ORM deep dive: lazy QuerySets, managers, F/Q, annotate/aggregate, subqueries, select_related/prefetch_related, N+1  +  Week 2 review and weekly test</v>
      </c>
      <c r="E8" s="22" t="s">
        <v>459</v>
      </c>
      <c r="F8" s="22" t="n">
        <v>7</v>
      </c>
      <c r="G8" s="26" t="s">
        <v>136</v>
      </c>
      <c r="H8" s="26"/>
      <c r="I8" s="27"/>
      <c r="J8" s="26"/>
    </row>
    <row r="9" customFormat="false" ht="35.05" hidden="false" customHeight="false" outlineLevel="0" collapsed="false">
      <c r="A9" s="22" t="n">
        <v>8</v>
      </c>
      <c r="B9" s="25" t="n">
        <f aca="false">'Learning Dashboard'!$B$3+A9-1</f>
        <v>46318</v>
      </c>
      <c r="C9" s="22" t="s">
        <v>466</v>
      </c>
      <c r="D9" s="22" t="str">
        <f aca="false">'60-Day Plan'!F16&amp;"  +  "&amp;'60-Day Plan'!F17</f>
        <v>Day-15 assessment and weak-area fix  +  Models, relationships, migrations, transactions (atomic, select_for_update), signals and their pitfalls</v>
      </c>
      <c r="E9" s="22" t="s">
        <v>459</v>
      </c>
      <c r="F9" s="22" t="n">
        <v>7</v>
      </c>
      <c r="G9" s="26" t="s">
        <v>136</v>
      </c>
      <c r="H9" s="26"/>
      <c r="I9" s="27"/>
      <c r="J9" s="26"/>
    </row>
    <row r="10" customFormat="false" ht="35.05" hidden="false" customHeight="false" outlineLevel="0" collapsed="false">
      <c r="A10" s="22" t="n">
        <v>9</v>
      </c>
      <c r="B10" s="25" t="n">
        <f aca="false">'Learning Dashboard'!$B$3+A10-1</f>
        <v>46319</v>
      </c>
      <c r="C10" s="22" t="s">
        <v>467</v>
      </c>
      <c r="D10" s="22" t="str">
        <f aca="false">'60-Day Plan'!F18&amp;"  +  "&amp;'60-Day Plan'!F19</f>
        <v>Auth: sessions, custom user model, groups/permissions, Django admin, caching, pagination and filtering  +  DRF core: serializers (validation, nested), APIView, generic views, viewsets, routers</v>
      </c>
      <c r="E10" s="22" t="s">
        <v>459</v>
      </c>
      <c r="F10" s="22" t="n">
        <v>7</v>
      </c>
      <c r="G10" s="26" t="s">
        <v>136</v>
      </c>
      <c r="H10" s="26"/>
      <c r="I10" s="27"/>
      <c r="J10" s="26"/>
    </row>
    <row r="11" customFormat="false" ht="35.05" hidden="false" customHeight="false" outlineLevel="0" collapsed="false">
      <c r="A11" s="22" t="n">
        <v>10</v>
      </c>
      <c r="B11" s="25" t="n">
        <f aca="false">'Learning Dashboard'!$B$3+A11-1</f>
        <v>46320</v>
      </c>
      <c r="C11" s="22" t="s">
        <v>468</v>
      </c>
      <c r="D11" s="22" t="str">
        <f aca="false">'60-Day Plan'!F20&amp;"  +  "&amp;'60-Day Plan'!F21</f>
        <v>DRF: JWT auth, permissions, throttling, versioning, exception handling, OpenAPI docs  +  DRF testing, security (CSRF, CORS, SQL injection), performance, ASGI vs WSGI. Optional: Channels/WebSockets intro</v>
      </c>
      <c r="E11" s="22" t="s">
        <v>459</v>
      </c>
      <c r="F11" s="22" t="n">
        <v>7</v>
      </c>
      <c r="G11" s="26" t="s">
        <v>136</v>
      </c>
      <c r="H11" s="26"/>
      <c r="I11" s="27"/>
      <c r="J11" s="26"/>
    </row>
    <row r="12" customFormat="false" ht="35.05" hidden="false" customHeight="false" outlineLevel="0" collapsed="false">
      <c r="A12" s="22" t="n">
        <v>11</v>
      </c>
      <c r="B12" s="25" t="n">
        <f aca="false">'Learning Dashboard'!$B$3+A12-1</f>
        <v>46321</v>
      </c>
      <c r="C12" s="22" t="s">
        <v>469</v>
      </c>
      <c r="D12" s="22" t="str">
        <f aca="false">'60-Day Plan'!F22&amp;"  +  "&amp;'60-Day Plan'!F23</f>
        <v>Week 3 review and weekly test  +  FastAPI 1: ASGI, routing, path/query/body params, Pydantic models, response models</v>
      </c>
      <c r="E12" s="22" t="s">
        <v>459</v>
      </c>
      <c r="F12" s="22" t="n">
        <v>7</v>
      </c>
      <c r="G12" s="26" t="s">
        <v>136</v>
      </c>
      <c r="H12" s="26"/>
      <c r="I12" s="27"/>
      <c r="J12" s="26"/>
    </row>
    <row r="13" customFormat="false" ht="35.05" hidden="false" customHeight="false" outlineLevel="0" collapsed="false">
      <c r="A13" s="22" t="n">
        <v>12</v>
      </c>
      <c r="B13" s="25" t="n">
        <f aca="false">'Learning Dashboard'!$B$3+A13-1</f>
        <v>46322</v>
      </c>
      <c r="C13" s="22" t="s">
        <v>470</v>
      </c>
      <c r="D13" s="22" t="str">
        <f aca="false">'60-Day Plan'!F24&amp;"  +  "&amp;'60-Day Plan'!F25</f>
        <v>FastAPI 2: dependency injection and overrides, OAuth2 password flow, JWT, role-based authorization  +  FastAPI 3: SQLAlchemy 2.0 + Alembic, sessions, transactions, sync vs async endpoints, pagination and filtering</v>
      </c>
      <c r="E13" s="22" t="s">
        <v>459</v>
      </c>
      <c r="F13" s="22" t="n">
        <v>7</v>
      </c>
      <c r="G13" s="26" t="s">
        <v>136</v>
      </c>
      <c r="H13" s="26"/>
      <c r="I13" s="27"/>
      <c r="J13" s="26"/>
    </row>
    <row r="14" customFormat="false" ht="35.05" hidden="false" customHeight="false" outlineLevel="0" collapsed="false">
      <c r="A14" s="22" t="n">
        <v>13</v>
      </c>
      <c r="B14" s="25" t="n">
        <f aca="false">'Learning Dashboard'!$B$3+A14-1</f>
        <v>46323</v>
      </c>
      <c r="C14" s="22" t="s">
        <v>471</v>
      </c>
      <c r="D14" s="22" t="str">
        <f aca="false">'60-Day Plan'!F26&amp;"  +  "&amp;'60-Day Plan'!F27</f>
        <v>FastAPI 4: pytest and TestClient, overrides, pydantic-settings config, middleware, exception handlers, background tasks and their limits, Docker  +  Redis and caching: data structures, cache-aside/write-through/write-behind, TTL, eviction, stampedes, rate limiting</v>
      </c>
      <c r="E14" s="22" t="s">
        <v>459</v>
      </c>
      <c r="F14" s="22" t="n">
        <v>7</v>
      </c>
      <c r="G14" s="26" t="s">
        <v>136</v>
      </c>
      <c r="H14" s="26"/>
      <c r="I14" s="27"/>
      <c r="J14" s="26"/>
    </row>
    <row r="15" customFormat="false" ht="35.05" hidden="false" customHeight="false" outlineLevel="0" collapsed="false">
      <c r="A15" s="22" t="n">
        <v>14</v>
      </c>
      <c r="B15" s="25" t="n">
        <f aca="false">'Learning Dashboard'!$B$3+A15-1</f>
        <v>46324</v>
      </c>
      <c r="C15" s="22" t="s">
        <v>472</v>
      </c>
      <c r="D15" s="22" t="str">
        <f aca="false">'60-Day Plan'!F28&amp;"  +  "&amp;'60-Day Plan'!F29</f>
        <v>Celery and messaging: workers, brokers, retries, backoff, idempotency, dead-letter queues, at-least-once delivery, periodic tasks, Redis vs RabbitMQ  +  Week 4 review and weekly test</v>
      </c>
      <c r="E15" s="22" t="s">
        <v>459</v>
      </c>
      <c r="F15" s="22" t="n">
        <v>7</v>
      </c>
      <c r="G15" s="26" t="s">
        <v>136</v>
      </c>
      <c r="H15" s="26"/>
      <c r="I15" s="27"/>
      <c r="J15" s="26"/>
    </row>
    <row r="16" customFormat="false" ht="35.05" hidden="false" customHeight="false" outlineLevel="0" collapsed="false">
      <c r="A16" s="22" t="n">
        <v>15</v>
      </c>
      <c r="B16" s="25" t="n">
        <f aca="false">'Learning Dashboard'!$B$3+A16-1</f>
        <v>46325</v>
      </c>
      <c r="C16" s="22" t="s">
        <v>473</v>
      </c>
      <c r="D16" s="22" t="str">
        <f aca="false">'60-Day Plan'!F30&amp;"  +  "&amp;'60-Day Plan'!F31</f>
        <v>Project B: async FastAPI service with external API integration, caching, background jobs, transactions, structured logging, error handling  +  Day-30 assessment, mock interview 1 and interview checkpoint</v>
      </c>
      <c r="E16" s="22" t="s">
        <v>459</v>
      </c>
      <c r="F16" s="22" t="n">
        <v>7</v>
      </c>
      <c r="G16" s="26" t="s">
        <v>136</v>
      </c>
      <c r="H16" s="26"/>
      <c r="I16" s="27"/>
      <c r="J16" s="26"/>
    </row>
    <row r="17" customFormat="false" ht="35.05" hidden="false" customHeight="false" outlineLevel="0" collapsed="false">
      <c r="A17" s="22" t="n">
        <v>16</v>
      </c>
      <c r="B17" s="25" t="n">
        <f aca="false">'Learning Dashboard'!$B$3+A17-1</f>
        <v>46326</v>
      </c>
      <c r="C17" s="22" t="s">
        <v>474</v>
      </c>
      <c r="D17" s="22" t="str">
        <f aca="false">'60-Day Plan'!F32&amp;"  +  "&amp;'60-Day Plan'!F33</f>
        <v>Linux and networking: commands, permissions, processes, ports, DNS, HTTP/HTTPS, TCP/IP, TLS, reverse proxy and load balancer concepts, logs  +  System design foundations: requirements, capacity estimation, latency/throughput/availability, API and data model, caching, queues, load balancers, replication</v>
      </c>
      <c r="E17" s="22" t="s">
        <v>459</v>
      </c>
      <c r="F17" s="22" t="n">
        <v>7</v>
      </c>
      <c r="G17" s="26" t="s">
        <v>136</v>
      </c>
      <c r="H17" s="26"/>
      <c r="I17" s="27"/>
      <c r="J17" s="26"/>
    </row>
    <row r="18" customFormat="false" ht="35.05" hidden="false" customHeight="false" outlineLevel="0" collapsed="false">
      <c r="A18" s="22" t="n">
        <v>17</v>
      </c>
      <c r="B18" s="25" t="n">
        <f aca="false">'Learning Dashboard'!$B$3+A18-1</f>
        <v>46327</v>
      </c>
      <c r="C18" s="22" t="s">
        <v>475</v>
      </c>
      <c r="D18" s="22" t="str">
        <f aca="false">'60-Day Plan'!F34&amp;"  +  "&amp;'60-Day Plan'!F35</f>
        <v>Docker: images, layers, Dockerfile, multi-stage builds, volumes, networks, Compose, health checks, secrets  +  Production containers: gunicorn/uvicorn workers, Nginx reverse proxy, non-root user, env config</v>
      </c>
      <c r="E18" s="22" t="s">
        <v>459</v>
      </c>
      <c r="F18" s="22" t="n">
        <v>7</v>
      </c>
      <c r="G18" s="26" t="s">
        <v>136</v>
      </c>
      <c r="H18" s="26"/>
      <c r="I18" s="27"/>
      <c r="J18" s="26"/>
    </row>
    <row r="19" customFormat="false" ht="35.05" hidden="false" customHeight="false" outlineLevel="0" collapsed="false">
      <c r="A19" s="22" t="n">
        <v>18</v>
      </c>
      <c r="B19" s="25" t="n">
        <f aca="false">'Learning Dashboard'!$B$3+A19-1</f>
        <v>46328</v>
      </c>
      <c r="C19" s="22" t="s">
        <v>476</v>
      </c>
      <c r="D19" s="22" t="str">
        <f aca="false">'60-Day Plan'!F36&amp;"  +  "&amp;'60-Day Plan'!F37</f>
        <v>Week 5 review and weekly test  +  Design exercise 1: URL shortener and rate limiter</v>
      </c>
      <c r="E19" s="22" t="s">
        <v>459</v>
      </c>
      <c r="F19" s="22" t="n">
        <v>7</v>
      </c>
      <c r="G19" s="26" t="s">
        <v>136</v>
      </c>
      <c r="H19" s="26"/>
      <c r="I19" s="27"/>
      <c r="J19" s="26"/>
    </row>
    <row r="20" customFormat="false" ht="35.05" hidden="false" customHeight="false" outlineLevel="0" collapsed="false">
      <c r="A20" s="22" t="n">
        <v>19</v>
      </c>
      <c r="B20" s="25" t="n">
        <f aca="false">'Learning Dashboard'!$B$3+A20-1</f>
        <v>46329</v>
      </c>
      <c r="C20" s="22" t="s">
        <v>477</v>
      </c>
      <c r="D20" s="22" t="str">
        <f aca="false">'60-Day Plan'!F38&amp;"  +  "&amp;'60-Day Plan'!F39</f>
        <v>Database scaling: replication, read replicas, partitioning, sharding, connection pooling, backups, SQL vs NoSQL, eventual consistency  +  Git workflows and CI: GitHub Actions for lint, tests, image build</v>
      </c>
      <c r="E20" s="22" t="s">
        <v>459</v>
      </c>
      <c r="F20" s="22" t="n">
        <v>7</v>
      </c>
      <c r="G20" s="26" t="s">
        <v>136</v>
      </c>
      <c r="H20" s="26"/>
      <c r="I20" s="27"/>
      <c r="J20" s="26"/>
    </row>
    <row r="21" customFormat="false" ht="35.05" hidden="false" customHeight="false" outlineLevel="0" collapsed="false">
      <c r="A21" s="22" t="n">
        <v>20</v>
      </c>
      <c r="B21" s="25" t="n">
        <f aca="false">'Learning Dashboard'!$B$3+A21-1</f>
        <v>46330</v>
      </c>
      <c r="C21" s="22" t="s">
        <v>478</v>
      </c>
      <c r="D21" s="22" t="str">
        <f aca="false">'60-Day Plan'!F40&amp;"  +  "&amp;'60-Day Plan'!F41</f>
        <v>Design exercise 2: notification service and background job processing  +  DSA checkpoint and integrated backend scenarios</v>
      </c>
      <c r="E21" s="22" t="s">
        <v>459</v>
      </c>
      <c r="F21" s="22" t="n">
        <v>7</v>
      </c>
      <c r="G21" s="26" t="s">
        <v>136</v>
      </c>
      <c r="H21" s="26"/>
      <c r="I21" s="27"/>
      <c r="J21" s="26"/>
    </row>
    <row r="22" customFormat="false" ht="35.05" hidden="false" customHeight="false" outlineLevel="0" collapsed="false">
      <c r="A22" s="22" t="n">
        <v>21</v>
      </c>
      <c r="B22" s="25" t="n">
        <f aca="false">'Learning Dashboard'!$B$3+A22-1</f>
        <v>46331</v>
      </c>
      <c r="C22" s="22" t="s">
        <v>479</v>
      </c>
      <c r="D22" s="22" t="str">
        <f aca="false">'60-Day Plan'!F42&amp;"  +  "&amp;'60-Day Plan'!F43</f>
        <v>Cloud foundations: shared responsibility, compute/network/storage/IAM/managed DB, VPC, security groups, load balancers, autoscaling, monitoring; choose one primary cloud and map to the others  +  Week 6 review and weekly test</v>
      </c>
      <c r="E22" s="22" t="s">
        <v>459</v>
      </c>
      <c r="F22" s="22" t="n">
        <v>7</v>
      </c>
      <c r="G22" s="26" t="s">
        <v>136</v>
      </c>
      <c r="H22" s="26"/>
      <c r="I22" s="27"/>
      <c r="J22" s="26"/>
    </row>
    <row r="23" customFormat="false" ht="35.05" hidden="false" customHeight="false" outlineLevel="0" collapsed="false">
      <c r="A23" s="22" t="n">
        <v>22</v>
      </c>
      <c r="B23" s="25" t="n">
        <f aca="false">'Learning Dashboard'!$B$3+A23-1</f>
        <v>46332</v>
      </c>
      <c r="C23" s="22" t="s">
        <v>480</v>
      </c>
      <c r="D23" s="22" t="str">
        <f aca="false">'60-Day Plan'!F44&amp;"  +  "&amp;'60-Day Plan'!F45</f>
        <v>Cloud hands-on 1 (free tier): IAM least privilege, object storage with pre-signed URLs, budgets and alerts, cost and cleanup  +  Deploy one project to a public URL (cost-safe)</v>
      </c>
      <c r="E23" s="22" t="s">
        <v>459</v>
      </c>
      <c r="F23" s="22" t="n">
        <v>7</v>
      </c>
      <c r="G23" s="26" t="s">
        <v>136</v>
      </c>
      <c r="H23" s="26"/>
      <c r="I23" s="27"/>
      <c r="J23" s="26"/>
    </row>
    <row r="24" customFormat="false" ht="35.05" hidden="false" customHeight="false" outlineLevel="0" collapsed="false">
      <c r="A24" s="22" t="n">
        <v>23</v>
      </c>
      <c r="B24" s="25" t="n">
        <f aca="false">'Learning Dashboard'!$B$3+A24-1</f>
        <v>46333</v>
      </c>
      <c r="C24" s="22" t="s">
        <v>481</v>
      </c>
      <c r="D24" s="22" t="str">
        <f aca="false">'60-Day Plan'!F46&amp;"  +  "&amp;'60-Day Plan'!F47</f>
        <v>Day-45 assessment and mock interview 2  +  CI/CD to deployment: build, test, push image, deploy, migrations during deploy, rollback, blue-green and rolling basics</v>
      </c>
      <c r="E24" s="22" t="s">
        <v>459</v>
      </c>
      <c r="F24" s="22" t="n">
        <v>7</v>
      </c>
      <c r="G24" s="26" t="s">
        <v>136</v>
      </c>
      <c r="H24" s="26"/>
      <c r="I24" s="27"/>
      <c r="J24" s="26"/>
    </row>
    <row r="25" customFormat="false" ht="35.05" hidden="false" customHeight="false" outlineLevel="0" collapsed="false">
      <c r="A25" s="22" t="n">
        <v>24</v>
      </c>
      <c r="B25" s="25" t="n">
        <f aca="false">'Learning Dashboard'!$B$3+A25-1</f>
        <v>46334</v>
      </c>
      <c r="C25" s="22" t="s">
        <v>482</v>
      </c>
      <c r="D25" s="22" t="str">
        <f aca="false">'60-Day Plan'!F48&amp;"  +  "&amp;'60-Day Plan'!F49</f>
        <v>Reliability: timeouts, retries, circuit breakers, bulkheads, graceful degradation, idempotent APIs, distributed locks, outbox, saga, monolith vs microservices  +  Observability: structured logs, metrics, traces, alerts, health and readiness endpoints</v>
      </c>
      <c r="E25" s="22" t="s">
        <v>459</v>
      </c>
      <c r="F25" s="22" t="n">
        <v>7</v>
      </c>
      <c r="G25" s="26" t="s">
        <v>136</v>
      </c>
      <c r="H25" s="26"/>
      <c r="I25" s="27"/>
      <c r="J25" s="26"/>
    </row>
    <row r="26" customFormat="false" ht="35.05" hidden="false" customHeight="false" outlineLevel="0" collapsed="false">
      <c r="A26" s="22" t="n">
        <v>25</v>
      </c>
      <c r="B26" s="25" t="n">
        <f aca="false">'Learning Dashboard'!$B$3+A26-1</f>
        <v>46335</v>
      </c>
      <c r="C26" s="22" t="s">
        <v>483</v>
      </c>
      <c r="D26" s="22" t="str">
        <f aca="false">'60-Day Plan'!F50&amp;"  +  "&amp;'60-Day Plan'!F51</f>
        <v>Week 7 review and weekly test  +  Integrated project day: deployment docs, README, architecture decision records. Design exercise 3: e-commerce backend</v>
      </c>
      <c r="E26" s="22" t="s">
        <v>459</v>
      </c>
      <c r="F26" s="22" t="n">
        <v>7</v>
      </c>
      <c r="G26" s="26" t="s">
        <v>136</v>
      </c>
      <c r="H26" s="26"/>
      <c r="I26" s="27"/>
      <c r="J26" s="26"/>
    </row>
    <row r="27" customFormat="false" ht="35.05" hidden="false" customHeight="false" outlineLevel="0" collapsed="false">
      <c r="A27" s="22" t="n">
        <v>26</v>
      </c>
      <c r="B27" s="25" t="n">
        <f aca="false">'Learning Dashboard'!$B$3+A27-1</f>
        <v>46336</v>
      </c>
      <c r="C27" s="22" t="s">
        <v>484</v>
      </c>
      <c r="D27" s="22" t="str">
        <f aca="false">'60-Day Plan'!F52&amp;"  +  "&amp;'60-Day Plan'!F53</f>
        <v>Design exercise 4: chat service and booking system  +  Weak-area remediation 1: Python and Django</v>
      </c>
      <c r="E27" s="22" t="s">
        <v>459</v>
      </c>
      <c r="F27" s="22" t="n">
        <v>7</v>
      </c>
      <c r="G27" s="26" t="s">
        <v>136</v>
      </c>
      <c r="H27" s="26"/>
      <c r="I27" s="27"/>
      <c r="J27" s="26"/>
    </row>
    <row r="28" customFormat="false" ht="35.05" hidden="false" customHeight="false" outlineLevel="0" collapsed="false">
      <c r="A28" s="22" t="n">
        <v>27</v>
      </c>
      <c r="B28" s="25" t="n">
        <f aca="false">'Learning Dashboard'!$B$3+A28-1</f>
        <v>46337</v>
      </c>
      <c r="C28" s="22" t="s">
        <v>485</v>
      </c>
      <c r="D28" s="22" t="str">
        <f aca="false">'60-Day Plan'!F54&amp;"  +  "&amp;'60-Day Plan'!F55</f>
        <v>Weak-area remediation 2: SQL, databases and backend  +  DSA weak patterns and timed mock</v>
      </c>
      <c r="E28" s="22" t="s">
        <v>459</v>
      </c>
      <c r="F28" s="22" t="n">
        <v>7</v>
      </c>
      <c r="G28" s="26" t="s">
        <v>136</v>
      </c>
      <c r="H28" s="26"/>
      <c r="I28" s="27"/>
      <c r="J28" s="26"/>
    </row>
    <row r="29" customFormat="false" ht="35.05" hidden="false" customHeight="false" outlineLevel="0" collapsed="false">
      <c r="A29" s="22" t="n">
        <v>28</v>
      </c>
      <c r="B29" s="25" t="n">
        <f aca="false">'Learning Dashboard'!$B$3+A29-1</f>
        <v>46338</v>
      </c>
      <c r="C29" s="22" t="s">
        <v>486</v>
      </c>
      <c r="D29" s="22" t="str">
        <f aca="false">'60-Day Plan'!F56&amp;"  +  "&amp;'60-Day Plan'!F57</f>
        <v>Mock interview 3: Python/Django + SQL + coding  +  Week 8 review and weekly test</v>
      </c>
      <c r="E29" s="22" t="s">
        <v>459</v>
      </c>
      <c r="F29" s="22" t="n">
        <v>7</v>
      </c>
      <c r="G29" s="26" t="s">
        <v>136</v>
      </c>
      <c r="H29" s="26"/>
      <c r="I29" s="27"/>
      <c r="J29" s="26"/>
    </row>
    <row r="30" customFormat="false" ht="35.05" hidden="false" customHeight="false" outlineLevel="0" collapsed="false">
      <c r="A30" s="22" t="n">
        <v>29</v>
      </c>
      <c r="B30" s="25" t="n">
        <f aca="false">'Learning Dashboard'!$B$3+A30-1</f>
        <v>46339</v>
      </c>
      <c r="C30" s="22" t="s">
        <v>487</v>
      </c>
      <c r="D30" s="22" t="str">
        <f aca="false">'60-Day Plan'!F58&amp;"  +  "&amp;'60-Day Plan'!F59</f>
        <v>Mock interview 4: system design, behavioural and project deep-dive  +  Project stories, CV and portfolio update, English polish</v>
      </c>
      <c r="E30" s="22" t="s">
        <v>459</v>
      </c>
      <c r="F30" s="22" t="n">
        <v>7</v>
      </c>
      <c r="G30" s="26" t="s">
        <v>136</v>
      </c>
      <c r="H30" s="26"/>
      <c r="I30" s="27"/>
      <c r="J30" s="26"/>
    </row>
    <row r="31" customFormat="false" ht="35.05" hidden="false" customHeight="false" outlineLevel="0" collapsed="false">
      <c r="A31" s="22" t="n">
        <v>30</v>
      </c>
      <c r="B31" s="25" t="n">
        <f aca="false">'Learning Dashboard'!$B$3+A31-1</f>
        <v>46340</v>
      </c>
      <c r="C31" s="22" t="s">
        <v>488</v>
      </c>
      <c r="D31" s="22" t="str">
        <f aca="false">'60-Day Plan'!F60&amp;"  +  "&amp;'60-Day Plan'!F61</f>
        <v>Final full mock loop: 3 rounds back-to-back  +  Day-60 final assessment, readiness report and next-30-day plan</v>
      </c>
      <c r="E31" s="22" t="s">
        <v>459</v>
      </c>
      <c r="F31" s="22" t="n">
        <v>7</v>
      </c>
      <c r="G31" s="26" t="s">
        <v>136</v>
      </c>
      <c r="H31" s="26"/>
      <c r="I31" s="27"/>
      <c r="J31" s="26"/>
    </row>
    <row r="33" customFormat="false" ht="15" hidden="false" customHeight="false" outlineLevel="0" collapsed="false">
      <c r="A33" s="16" t="s">
        <v>489</v>
      </c>
    </row>
  </sheetData>
  <conditionalFormatting sqref="G2:G31">
    <cfRule type="cellIs" priority="2" operator="equal" aboveAverage="0" equalAverage="0" bottom="0" percent="0" rank="0" text="" dxfId="4">
      <formula>"Completed"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true" errorStyle="stop" operator="between" showDropDown="false" showErrorMessage="false" showInputMessage="false" sqref="G2:G31" type="list">
      <formula1>"Not Started,In Progress,Blocked,Completed"</formula1>
      <formula2>0</formula2>
    </dataValidation>
    <dataValidation allowBlank="true" errorStyle="stop" operator="between" showDropDown="false" showErrorMessage="false" showInputMessage="false" sqref="H2:H3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4" t="s">
        <v>490</v>
      </c>
    </row>
    <row r="2" customFormat="false" ht="15" hidden="false" customHeight="false" outlineLevel="0" collapsed="false">
      <c r="A2" s="16" t="s">
        <v>491</v>
      </c>
    </row>
    <row r="4" customFormat="false" ht="33.75" hidden="false" customHeight="true" outlineLevel="0" collapsed="false">
      <c r="A4" s="21" t="s">
        <v>492</v>
      </c>
      <c r="B4" s="21" t="s">
        <v>493</v>
      </c>
      <c r="C4" s="21" t="s">
        <v>494</v>
      </c>
      <c r="D4" s="21" t="s">
        <v>495</v>
      </c>
      <c r="E4" s="21" t="s">
        <v>496</v>
      </c>
    </row>
    <row r="5" customFormat="false" ht="23.85" hidden="false" customHeight="false" outlineLevel="0" collapsed="false">
      <c r="A5" s="22" t="s">
        <v>497</v>
      </c>
      <c r="B5" s="28" t="n">
        <v>90</v>
      </c>
      <c r="C5" s="28" t="s">
        <v>498</v>
      </c>
      <c r="D5" s="22" t="s">
        <v>499</v>
      </c>
      <c r="E5" s="28" t="n">
        <v>60</v>
      </c>
    </row>
    <row r="6" customFormat="false" ht="23.85" hidden="false" customHeight="false" outlineLevel="0" collapsed="false">
      <c r="A6" s="22" t="s">
        <v>500</v>
      </c>
      <c r="B6" s="28" t="n">
        <v>60</v>
      </c>
      <c r="C6" s="28" t="s">
        <v>501</v>
      </c>
      <c r="D6" s="22" t="s">
        <v>502</v>
      </c>
      <c r="E6" s="28" t="n">
        <v>40</v>
      </c>
    </row>
    <row r="7" customFormat="false" ht="15" hidden="false" customHeight="false" outlineLevel="0" collapsed="false">
      <c r="A7" s="22" t="s">
        <v>503</v>
      </c>
      <c r="B7" s="28" t="n">
        <v>60</v>
      </c>
      <c r="C7" s="28" t="s">
        <v>504</v>
      </c>
      <c r="D7" s="22" t="s">
        <v>505</v>
      </c>
      <c r="E7" s="28" t="n">
        <v>40</v>
      </c>
    </row>
    <row r="8" customFormat="false" ht="15" hidden="false" customHeight="false" outlineLevel="0" collapsed="false">
      <c r="A8" s="22" t="s">
        <v>506</v>
      </c>
      <c r="B8" s="28" t="n">
        <v>45</v>
      </c>
      <c r="C8" s="28" t="s">
        <v>507</v>
      </c>
      <c r="D8" s="22" t="s">
        <v>508</v>
      </c>
      <c r="E8" s="28" t="n">
        <v>0</v>
      </c>
    </row>
    <row r="9" customFormat="false" ht="15" hidden="false" customHeight="false" outlineLevel="0" collapsed="false">
      <c r="A9" s="22" t="s">
        <v>509</v>
      </c>
      <c r="B9" s="28" t="n">
        <v>30</v>
      </c>
      <c r="C9" s="28" t="s">
        <v>510</v>
      </c>
      <c r="D9" s="22" t="s">
        <v>511</v>
      </c>
      <c r="E9" s="28" t="n">
        <v>0</v>
      </c>
    </row>
    <row r="10" customFormat="false" ht="15" hidden="false" customHeight="false" outlineLevel="0" collapsed="false">
      <c r="A10" s="22" t="s">
        <v>512</v>
      </c>
      <c r="B10" s="28" t="n">
        <v>30</v>
      </c>
      <c r="C10" s="28" t="s">
        <v>513</v>
      </c>
      <c r="D10" s="22" t="s">
        <v>514</v>
      </c>
      <c r="E10" s="28" t="n">
        <v>20</v>
      </c>
    </row>
    <row r="11" customFormat="false" ht="15" hidden="false" customHeight="false" outlineLevel="0" collapsed="false">
      <c r="A11" s="22" t="s">
        <v>515</v>
      </c>
      <c r="B11" s="28" t="n">
        <v>40</v>
      </c>
      <c r="C11" s="28" t="s">
        <v>516</v>
      </c>
      <c r="D11" s="22" t="s">
        <v>517</v>
      </c>
      <c r="E11" s="28" t="n">
        <v>20</v>
      </c>
    </row>
    <row r="12" customFormat="false" ht="15" hidden="false" customHeight="false" outlineLevel="0" collapsed="false">
      <c r="A12" s="13" t="s">
        <v>518</v>
      </c>
      <c r="B12" s="13" t="n">
        <f aca="false">SUM(B5:B11)</f>
        <v>355</v>
      </c>
      <c r="E12" s="13" t="n">
        <f aca="false">SUM(E5:E11)</f>
        <v>180</v>
      </c>
    </row>
    <row r="13" customFormat="false" ht="15" hidden="false" customHeight="false" outlineLevel="0" collapsed="false">
      <c r="A13" s="0" t="s">
        <v>519</v>
      </c>
      <c r="B13" s="29" t="n">
        <f aca="false">B12/60</f>
        <v>5.91666666666667</v>
      </c>
      <c r="E13" s="29" t="n">
        <f aca="false">E12/60</f>
        <v>3</v>
      </c>
    </row>
    <row r="14" customFormat="false" ht="15" hidden="false" customHeight="false" outlineLevel="0" collapsed="false">
      <c r="A14" s="16" t="s">
        <v>520</v>
      </c>
    </row>
    <row r="16" customFormat="false" ht="33.75" hidden="false" customHeight="true" outlineLevel="0" collapsed="false">
      <c r="A16" s="21" t="s">
        <v>521</v>
      </c>
      <c r="B16" s="21" t="s">
        <v>493</v>
      </c>
      <c r="C16" s="21"/>
      <c r="D16" s="21" t="s">
        <v>522</v>
      </c>
      <c r="E16" s="21"/>
    </row>
    <row r="17" customFormat="false" ht="15" hidden="false" customHeight="false" outlineLevel="0" collapsed="false">
      <c r="A17" s="22" t="s">
        <v>523</v>
      </c>
      <c r="B17" s="22" t="n">
        <v>30</v>
      </c>
      <c r="C17" s="22"/>
      <c r="D17" s="22" t="s">
        <v>524</v>
      </c>
      <c r="E17" s="22"/>
    </row>
    <row r="18" customFormat="false" ht="23.85" hidden="false" customHeight="false" outlineLevel="0" collapsed="false">
      <c r="A18" s="22" t="s">
        <v>525</v>
      </c>
      <c r="B18" s="22" t="n">
        <v>25</v>
      </c>
      <c r="C18" s="22"/>
      <c r="D18" s="22" t="s">
        <v>526</v>
      </c>
      <c r="E18" s="22"/>
    </row>
    <row r="19" customFormat="false" ht="15" hidden="false" customHeight="false" outlineLevel="0" collapsed="false">
      <c r="A19" s="22" t="s">
        <v>527</v>
      </c>
      <c r="B19" s="22" t="n">
        <v>20</v>
      </c>
      <c r="C19" s="22"/>
      <c r="D19" s="22" t="s">
        <v>528</v>
      </c>
      <c r="E19" s="22"/>
    </row>
    <row r="20" customFormat="false" ht="15" hidden="false" customHeight="false" outlineLevel="0" collapsed="false">
      <c r="A20" s="22" t="s">
        <v>529</v>
      </c>
      <c r="B20" s="22" t="n">
        <v>15</v>
      </c>
      <c r="C20" s="22"/>
      <c r="D20" s="22" t="s">
        <v>530</v>
      </c>
      <c r="E20" s="22"/>
    </row>
    <row r="21" customFormat="false" ht="15" hidden="false" customHeight="false" outlineLevel="0" collapsed="false">
      <c r="A21" s="16" t="s">
        <v>531</v>
      </c>
    </row>
    <row r="23" customFormat="false" ht="33.75" hidden="false" customHeight="true" outlineLevel="0" collapsed="false">
      <c r="A23" s="21" t="s">
        <v>532</v>
      </c>
      <c r="B23" s="21"/>
      <c r="C23" s="21"/>
      <c r="D23" s="21" t="s">
        <v>533</v>
      </c>
      <c r="E23" s="21"/>
    </row>
    <row r="24" customFormat="false" ht="30" hidden="false" customHeight="true" outlineLevel="0" collapsed="false">
      <c r="A24" s="30" t="s">
        <v>534</v>
      </c>
      <c r="B24" s="22"/>
      <c r="C24" s="22"/>
      <c r="D24" s="22" t="s">
        <v>535</v>
      </c>
      <c r="E24" s="22"/>
    </row>
    <row r="25" customFormat="false" ht="30" hidden="false" customHeight="true" outlineLevel="0" collapsed="false">
      <c r="A25" s="30" t="s">
        <v>536</v>
      </c>
      <c r="B25" s="22"/>
      <c r="C25" s="22"/>
      <c r="D25" s="22" t="s">
        <v>537</v>
      </c>
      <c r="E25" s="22"/>
    </row>
    <row r="26" customFormat="false" ht="30" hidden="false" customHeight="true" outlineLevel="0" collapsed="false">
      <c r="A26" s="30" t="s">
        <v>538</v>
      </c>
      <c r="B26" s="22"/>
      <c r="C26" s="22"/>
      <c r="D26" s="22" t="s">
        <v>539</v>
      </c>
      <c r="E26" s="22"/>
    </row>
    <row r="27" customFormat="false" ht="48" hidden="false" customHeight="true" outlineLevel="0" collapsed="false">
      <c r="A27" s="30" t="s">
        <v>540</v>
      </c>
      <c r="B27" s="22"/>
      <c r="C27" s="22"/>
      <c r="D27" s="22" t="s">
        <v>541</v>
      </c>
      <c r="E27" s="22"/>
    </row>
    <row r="28" customFormat="false" ht="48" hidden="false" customHeight="true" outlineLevel="0" collapsed="false">
      <c r="A28" s="30" t="s">
        <v>542</v>
      </c>
      <c r="B28" s="22"/>
      <c r="C28" s="22"/>
      <c r="D28" s="22" t="s">
        <v>543</v>
      </c>
      <c r="E28" s="22"/>
    </row>
    <row r="29" customFormat="false" ht="30" hidden="false" customHeight="true" outlineLevel="0" collapsed="false">
      <c r="A29" s="30" t="s">
        <v>544</v>
      </c>
      <c r="B29" s="22"/>
      <c r="C29" s="22"/>
      <c r="D29" s="22" t="s">
        <v>545</v>
      </c>
      <c r="E2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45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11"/>
  </cols>
  <sheetData>
    <row r="1" customFormat="false" ht="31.5" hidden="false" customHeight="true" outlineLevel="0" collapsed="false">
      <c r="A1" s="21" t="s">
        <v>108</v>
      </c>
      <c r="B1" s="21" t="s">
        <v>109</v>
      </c>
      <c r="C1" s="21" t="s">
        <v>546</v>
      </c>
      <c r="D1" s="21" t="s">
        <v>547</v>
      </c>
      <c r="E1" s="21" t="s">
        <v>548</v>
      </c>
      <c r="F1" s="21" t="s">
        <v>549</v>
      </c>
      <c r="G1" s="21" t="s">
        <v>550</v>
      </c>
      <c r="H1" s="21" t="s">
        <v>551</v>
      </c>
      <c r="I1" s="21" t="s">
        <v>552</v>
      </c>
      <c r="J1" s="21" t="s">
        <v>553</v>
      </c>
      <c r="K1" s="21" t="s">
        <v>554</v>
      </c>
      <c r="L1" s="21" t="s">
        <v>555</v>
      </c>
      <c r="M1" s="21" t="s">
        <v>556</v>
      </c>
      <c r="N1" s="21" t="s">
        <v>557</v>
      </c>
      <c r="O1" s="21" t="s">
        <v>558</v>
      </c>
      <c r="P1" s="21" t="s">
        <v>559</v>
      </c>
      <c r="Q1" s="21" t="s">
        <v>560</v>
      </c>
      <c r="R1" s="21" t="s">
        <v>561</v>
      </c>
    </row>
    <row r="2" customFormat="false" ht="15" hidden="false" customHeight="true" outlineLevel="0" collapsed="false">
      <c r="A2" s="22" t="n">
        <v>1</v>
      </c>
      <c r="B2" s="25" t="n">
        <f aca="false">'Start Here'!$B$3+A2-1</f>
        <v>46309</v>
      </c>
      <c r="C2" s="22"/>
      <c r="D2" s="22"/>
      <c r="E2" s="22"/>
      <c r="F2" s="22"/>
      <c r="G2" s="22"/>
      <c r="H2" s="22"/>
      <c r="I2" s="22"/>
      <c r="J2" s="22"/>
      <c r="K2" s="22"/>
      <c r="L2" s="22" t="str">
        <f aca="false">IF(B2&gt;='Learning Dashboard'!$B$3,B2-'Learning Dashboard'!$B$3+1,"")</f>
        <v/>
      </c>
      <c r="M2" s="22"/>
      <c r="N2" s="22"/>
      <c r="O2" s="22"/>
      <c r="P2" s="22"/>
      <c r="Q2" s="22"/>
      <c r="R2" s="22"/>
    </row>
    <row r="3" customFormat="false" ht="15" hidden="false" customHeight="true" outlineLevel="0" collapsed="false">
      <c r="A3" s="22" t="n">
        <v>2</v>
      </c>
      <c r="B3" s="25" t="n">
        <f aca="false">'Start Here'!$B$3+A3-1</f>
        <v>46310</v>
      </c>
      <c r="C3" s="22"/>
      <c r="D3" s="22"/>
      <c r="E3" s="22"/>
      <c r="F3" s="22"/>
      <c r="G3" s="22"/>
      <c r="H3" s="22"/>
      <c r="I3" s="22"/>
      <c r="J3" s="22"/>
      <c r="K3" s="22"/>
      <c r="L3" s="22" t="str">
        <f aca="false">IF(B3&gt;='Learning Dashboard'!$B$3,B3-'Learning Dashboard'!$B$3+1,"")</f>
        <v/>
      </c>
      <c r="M3" s="22"/>
      <c r="N3" s="22"/>
      <c r="O3" s="22"/>
      <c r="P3" s="22"/>
      <c r="Q3" s="22"/>
      <c r="R3" s="22"/>
    </row>
    <row r="4" customFormat="false" ht="15" hidden="false" customHeight="true" outlineLevel="0" collapsed="false">
      <c r="A4" s="22" t="n">
        <v>3</v>
      </c>
      <c r="B4" s="25" t="n">
        <f aca="false">'Start Here'!$B$3+A4-1</f>
        <v>46311</v>
      </c>
      <c r="C4" s="22"/>
      <c r="D4" s="22"/>
      <c r="E4" s="22"/>
      <c r="F4" s="22"/>
      <c r="G4" s="22"/>
      <c r="H4" s="22"/>
      <c r="I4" s="22"/>
      <c r="J4" s="22"/>
      <c r="K4" s="22"/>
      <c r="L4" s="22" t="n">
        <f aca="false">IF(B4&gt;='Learning Dashboard'!$B$3,B4-'Learning Dashboard'!$B$3+1,"")</f>
        <v>1</v>
      </c>
      <c r="M4" s="22"/>
      <c r="N4" s="22"/>
      <c r="O4" s="22"/>
      <c r="P4" s="22"/>
      <c r="Q4" s="22"/>
      <c r="R4" s="22"/>
    </row>
    <row r="5" customFormat="false" ht="15" hidden="false" customHeight="true" outlineLevel="0" collapsed="false">
      <c r="A5" s="22" t="n">
        <v>4</v>
      </c>
      <c r="B5" s="25" t="n">
        <f aca="false">'Start Here'!$B$3+A5-1</f>
        <v>46312</v>
      </c>
      <c r="C5" s="22"/>
      <c r="D5" s="22"/>
      <c r="E5" s="22"/>
      <c r="F5" s="22"/>
      <c r="G5" s="22"/>
      <c r="H5" s="22"/>
      <c r="I5" s="22"/>
      <c r="J5" s="22"/>
      <c r="K5" s="22"/>
      <c r="L5" s="22" t="n">
        <f aca="false">IF(B5&gt;='Learning Dashboard'!$B$3,B5-'Learning Dashboard'!$B$3+1,"")</f>
        <v>2</v>
      </c>
      <c r="M5" s="22"/>
      <c r="N5" s="22"/>
      <c r="O5" s="22"/>
      <c r="P5" s="22"/>
      <c r="Q5" s="22"/>
      <c r="R5" s="22"/>
    </row>
    <row r="6" customFormat="false" ht="15" hidden="false" customHeight="true" outlineLevel="0" collapsed="false">
      <c r="A6" s="22" t="n">
        <v>5</v>
      </c>
      <c r="B6" s="25" t="n">
        <f aca="false">'Start Here'!$B$3+A6-1</f>
        <v>46313</v>
      </c>
      <c r="C6" s="22"/>
      <c r="D6" s="22"/>
      <c r="E6" s="22"/>
      <c r="F6" s="22"/>
      <c r="G6" s="22"/>
      <c r="H6" s="22"/>
      <c r="I6" s="22"/>
      <c r="J6" s="22"/>
      <c r="K6" s="22"/>
      <c r="L6" s="22" t="n">
        <f aca="false">IF(B6&gt;='Learning Dashboard'!$B$3,B6-'Learning Dashboard'!$B$3+1,"")</f>
        <v>3</v>
      </c>
      <c r="M6" s="22"/>
      <c r="N6" s="22"/>
      <c r="O6" s="22"/>
      <c r="P6" s="22"/>
      <c r="Q6" s="22"/>
      <c r="R6" s="22"/>
    </row>
    <row r="7" customFormat="false" ht="15" hidden="false" customHeight="true" outlineLevel="0" collapsed="false">
      <c r="A7" s="22" t="n">
        <v>6</v>
      </c>
      <c r="B7" s="25" t="n">
        <f aca="false">'Start Here'!$B$3+A7-1</f>
        <v>46314</v>
      </c>
      <c r="C7" s="22"/>
      <c r="D7" s="22"/>
      <c r="E7" s="22"/>
      <c r="F7" s="22"/>
      <c r="G7" s="22"/>
      <c r="H7" s="22"/>
      <c r="I7" s="22"/>
      <c r="J7" s="22"/>
      <c r="K7" s="22"/>
      <c r="L7" s="22" t="n">
        <f aca="false">IF(B7&gt;='Learning Dashboard'!$B$3,B7-'Learning Dashboard'!$B$3+1,"")</f>
        <v>4</v>
      </c>
      <c r="M7" s="22"/>
      <c r="N7" s="22"/>
      <c r="O7" s="22"/>
      <c r="P7" s="22"/>
      <c r="Q7" s="22"/>
      <c r="R7" s="22"/>
    </row>
    <row r="8" customFormat="false" ht="15" hidden="false" customHeight="true" outlineLevel="0" collapsed="false">
      <c r="A8" s="22" t="n">
        <v>7</v>
      </c>
      <c r="B8" s="25" t="n">
        <f aca="false">'Start Here'!$B$3+A8-1</f>
        <v>46315</v>
      </c>
      <c r="C8" s="22"/>
      <c r="D8" s="22"/>
      <c r="E8" s="22"/>
      <c r="F8" s="22"/>
      <c r="G8" s="22"/>
      <c r="H8" s="22"/>
      <c r="I8" s="22"/>
      <c r="J8" s="22"/>
      <c r="K8" s="22"/>
      <c r="L8" s="22" t="n">
        <f aca="false">IF(B8&gt;='Learning Dashboard'!$B$3,B8-'Learning Dashboard'!$B$3+1,"")</f>
        <v>5</v>
      </c>
      <c r="M8" s="22"/>
      <c r="N8" s="22"/>
      <c r="O8" s="22"/>
      <c r="P8" s="22"/>
      <c r="Q8" s="22"/>
      <c r="R8" s="22"/>
    </row>
    <row r="9" customFormat="false" ht="15" hidden="false" customHeight="true" outlineLevel="0" collapsed="false">
      <c r="A9" s="22" t="n">
        <v>8</v>
      </c>
      <c r="B9" s="25" t="n">
        <f aca="false">'Start Here'!$B$3+A9-1</f>
        <v>46316</v>
      </c>
      <c r="C9" s="22"/>
      <c r="D9" s="22"/>
      <c r="E9" s="22"/>
      <c r="F9" s="22"/>
      <c r="G9" s="22"/>
      <c r="H9" s="22"/>
      <c r="I9" s="22"/>
      <c r="J9" s="22"/>
      <c r="K9" s="22"/>
      <c r="L9" s="22" t="n">
        <f aca="false">IF(B9&gt;='Learning Dashboard'!$B$3,B9-'Learning Dashboard'!$B$3+1,"")</f>
        <v>6</v>
      </c>
      <c r="M9" s="22"/>
      <c r="N9" s="22"/>
      <c r="O9" s="22"/>
      <c r="P9" s="22"/>
      <c r="Q9" s="22"/>
      <c r="R9" s="22"/>
    </row>
    <row r="10" customFormat="false" ht="15" hidden="false" customHeight="true" outlineLevel="0" collapsed="false">
      <c r="A10" s="22" t="n">
        <v>9</v>
      </c>
      <c r="B10" s="25" t="n">
        <f aca="false">'Start Here'!$B$3+A10-1</f>
        <v>46317</v>
      </c>
      <c r="C10" s="22"/>
      <c r="D10" s="22"/>
      <c r="E10" s="22"/>
      <c r="F10" s="22"/>
      <c r="G10" s="22"/>
      <c r="H10" s="22"/>
      <c r="I10" s="22"/>
      <c r="J10" s="22"/>
      <c r="K10" s="22"/>
      <c r="L10" s="22" t="n">
        <f aca="false">IF(B10&gt;='Learning Dashboard'!$B$3,B10-'Learning Dashboard'!$B$3+1,"")</f>
        <v>7</v>
      </c>
      <c r="M10" s="22"/>
      <c r="N10" s="22"/>
      <c r="O10" s="22"/>
      <c r="P10" s="22"/>
      <c r="Q10" s="22"/>
      <c r="R10" s="22"/>
    </row>
    <row r="11" customFormat="false" ht="15" hidden="false" customHeight="true" outlineLevel="0" collapsed="false">
      <c r="A11" s="22" t="n">
        <v>10</v>
      </c>
      <c r="B11" s="25" t="n">
        <f aca="false">'Start Here'!$B$3+A11-1</f>
        <v>46318</v>
      </c>
      <c r="C11" s="22"/>
      <c r="D11" s="22"/>
      <c r="E11" s="22"/>
      <c r="F11" s="22"/>
      <c r="G11" s="22"/>
      <c r="H11" s="22"/>
      <c r="I11" s="22"/>
      <c r="J11" s="22"/>
      <c r="K11" s="22"/>
      <c r="L11" s="22" t="n">
        <f aca="false">IF(B11&gt;='Learning Dashboard'!$B$3,B11-'Learning Dashboard'!$B$3+1,"")</f>
        <v>8</v>
      </c>
      <c r="M11" s="22"/>
      <c r="N11" s="22"/>
      <c r="O11" s="22"/>
      <c r="P11" s="22"/>
      <c r="Q11" s="22"/>
      <c r="R11" s="22"/>
    </row>
    <row r="12" customFormat="false" ht="15" hidden="false" customHeight="true" outlineLevel="0" collapsed="false">
      <c r="A12" s="22" t="n">
        <v>11</v>
      </c>
      <c r="B12" s="25" t="n">
        <f aca="false">'Start Here'!$B$3+A12-1</f>
        <v>46319</v>
      </c>
      <c r="C12" s="22"/>
      <c r="D12" s="22"/>
      <c r="E12" s="22"/>
      <c r="F12" s="22"/>
      <c r="G12" s="22"/>
      <c r="H12" s="22"/>
      <c r="I12" s="22"/>
      <c r="J12" s="22"/>
      <c r="K12" s="22"/>
      <c r="L12" s="22" t="n">
        <f aca="false">IF(B12&gt;='Learning Dashboard'!$B$3,B12-'Learning Dashboard'!$B$3+1,"")</f>
        <v>9</v>
      </c>
      <c r="M12" s="22"/>
      <c r="N12" s="22"/>
      <c r="O12" s="22"/>
      <c r="P12" s="22"/>
      <c r="Q12" s="22"/>
      <c r="R12" s="22"/>
    </row>
    <row r="13" customFormat="false" ht="15" hidden="false" customHeight="true" outlineLevel="0" collapsed="false">
      <c r="A13" s="22" t="n">
        <v>12</v>
      </c>
      <c r="B13" s="25" t="n">
        <f aca="false">'Start Here'!$B$3+A13-1</f>
        <v>46320</v>
      </c>
      <c r="C13" s="22"/>
      <c r="D13" s="22"/>
      <c r="E13" s="22"/>
      <c r="F13" s="22"/>
      <c r="G13" s="22"/>
      <c r="H13" s="22"/>
      <c r="I13" s="22"/>
      <c r="J13" s="22"/>
      <c r="K13" s="22"/>
      <c r="L13" s="22" t="n">
        <f aca="false">IF(B13&gt;='Learning Dashboard'!$B$3,B13-'Learning Dashboard'!$B$3+1,"")</f>
        <v>10</v>
      </c>
      <c r="M13" s="22"/>
      <c r="N13" s="22"/>
      <c r="O13" s="22"/>
      <c r="P13" s="22"/>
      <c r="Q13" s="22"/>
      <c r="R13" s="22"/>
    </row>
    <row r="14" customFormat="false" ht="15" hidden="false" customHeight="true" outlineLevel="0" collapsed="false">
      <c r="A14" s="22" t="n">
        <v>13</v>
      </c>
      <c r="B14" s="25" t="n">
        <f aca="false">'Start Here'!$B$3+A14-1</f>
        <v>46321</v>
      </c>
      <c r="C14" s="22"/>
      <c r="D14" s="22"/>
      <c r="E14" s="22"/>
      <c r="F14" s="22"/>
      <c r="G14" s="22"/>
      <c r="H14" s="22"/>
      <c r="I14" s="22"/>
      <c r="J14" s="22"/>
      <c r="K14" s="22"/>
      <c r="L14" s="22" t="n">
        <f aca="false">IF(B14&gt;='Learning Dashboard'!$B$3,B14-'Learning Dashboard'!$B$3+1,"")</f>
        <v>11</v>
      </c>
      <c r="M14" s="22"/>
      <c r="N14" s="22"/>
      <c r="O14" s="22"/>
      <c r="P14" s="22"/>
      <c r="Q14" s="22"/>
      <c r="R14" s="22"/>
    </row>
    <row r="15" customFormat="false" ht="15" hidden="false" customHeight="true" outlineLevel="0" collapsed="false">
      <c r="A15" s="22" t="n">
        <v>14</v>
      </c>
      <c r="B15" s="25" t="n">
        <f aca="false">'Start Here'!$B$3+A15-1</f>
        <v>46322</v>
      </c>
      <c r="C15" s="22"/>
      <c r="D15" s="22"/>
      <c r="E15" s="22"/>
      <c r="F15" s="22"/>
      <c r="G15" s="22"/>
      <c r="H15" s="22"/>
      <c r="I15" s="22"/>
      <c r="J15" s="22"/>
      <c r="K15" s="22"/>
      <c r="L15" s="22" t="n">
        <f aca="false">IF(B15&gt;='Learning Dashboard'!$B$3,B15-'Learning Dashboard'!$B$3+1,"")</f>
        <v>12</v>
      </c>
      <c r="M15" s="22"/>
      <c r="N15" s="22"/>
      <c r="O15" s="22"/>
      <c r="P15" s="22"/>
      <c r="Q15" s="22"/>
      <c r="R15" s="22"/>
    </row>
    <row r="16" customFormat="false" ht="15" hidden="false" customHeight="true" outlineLevel="0" collapsed="false">
      <c r="A16" s="22" t="n">
        <v>15</v>
      </c>
      <c r="B16" s="25" t="n">
        <f aca="false">'Start Here'!$B$3+A16-1</f>
        <v>46323</v>
      </c>
      <c r="C16" s="22"/>
      <c r="D16" s="22"/>
      <c r="E16" s="22"/>
      <c r="F16" s="22"/>
      <c r="G16" s="22"/>
      <c r="H16" s="22"/>
      <c r="I16" s="22"/>
      <c r="J16" s="22"/>
      <c r="K16" s="22"/>
      <c r="L16" s="22" t="n">
        <f aca="false">IF(B16&gt;='Learning Dashboard'!$B$3,B16-'Learning Dashboard'!$B$3+1,"")</f>
        <v>13</v>
      </c>
      <c r="M16" s="22"/>
      <c r="N16" s="22"/>
      <c r="O16" s="22"/>
      <c r="P16" s="22"/>
      <c r="Q16" s="22"/>
      <c r="R16" s="22"/>
    </row>
    <row r="17" customFormat="false" ht="15" hidden="false" customHeight="true" outlineLevel="0" collapsed="false">
      <c r="A17" s="22" t="n">
        <v>16</v>
      </c>
      <c r="B17" s="25" t="n">
        <f aca="false">'Start Here'!$B$3+A17-1</f>
        <v>46324</v>
      </c>
      <c r="C17" s="22"/>
      <c r="D17" s="22"/>
      <c r="E17" s="22"/>
      <c r="F17" s="22"/>
      <c r="G17" s="22"/>
      <c r="H17" s="22"/>
      <c r="I17" s="22"/>
      <c r="J17" s="22"/>
      <c r="K17" s="22"/>
      <c r="L17" s="22" t="n">
        <f aca="false">IF(B17&gt;='Learning Dashboard'!$B$3,B17-'Learning Dashboard'!$B$3+1,"")</f>
        <v>14</v>
      </c>
      <c r="M17" s="22"/>
      <c r="N17" s="22"/>
      <c r="O17" s="22"/>
      <c r="P17" s="22"/>
      <c r="Q17" s="22"/>
      <c r="R17" s="22"/>
    </row>
    <row r="18" customFormat="false" ht="15" hidden="false" customHeight="true" outlineLevel="0" collapsed="false">
      <c r="A18" s="22" t="n">
        <v>17</v>
      </c>
      <c r="B18" s="25" t="n">
        <f aca="false">'Start Here'!$B$3+A18-1</f>
        <v>46325</v>
      </c>
      <c r="C18" s="22"/>
      <c r="D18" s="22"/>
      <c r="E18" s="22"/>
      <c r="F18" s="22"/>
      <c r="G18" s="22"/>
      <c r="H18" s="22"/>
      <c r="I18" s="22"/>
      <c r="J18" s="22"/>
      <c r="K18" s="22"/>
      <c r="L18" s="22" t="n">
        <f aca="false">IF(B18&gt;='Learning Dashboard'!$B$3,B18-'Learning Dashboard'!$B$3+1,"")</f>
        <v>15</v>
      </c>
      <c r="M18" s="22"/>
      <c r="N18" s="22"/>
      <c r="O18" s="22"/>
      <c r="P18" s="22"/>
      <c r="Q18" s="22"/>
      <c r="R18" s="22"/>
    </row>
    <row r="19" customFormat="false" ht="15" hidden="false" customHeight="true" outlineLevel="0" collapsed="false">
      <c r="A19" s="22" t="n">
        <v>18</v>
      </c>
      <c r="B19" s="25" t="n">
        <f aca="false">'Start Here'!$B$3+A19-1</f>
        <v>46326</v>
      </c>
      <c r="C19" s="22"/>
      <c r="D19" s="22"/>
      <c r="E19" s="22"/>
      <c r="F19" s="22"/>
      <c r="G19" s="22"/>
      <c r="H19" s="22"/>
      <c r="I19" s="22"/>
      <c r="J19" s="22"/>
      <c r="K19" s="22"/>
      <c r="L19" s="22" t="n">
        <f aca="false">IF(B19&gt;='Learning Dashboard'!$B$3,B19-'Learning Dashboard'!$B$3+1,"")</f>
        <v>16</v>
      </c>
      <c r="M19" s="22"/>
      <c r="N19" s="22"/>
      <c r="O19" s="22"/>
      <c r="P19" s="22"/>
      <c r="Q19" s="22"/>
      <c r="R19" s="22"/>
    </row>
    <row r="20" customFormat="false" ht="15" hidden="false" customHeight="true" outlineLevel="0" collapsed="false">
      <c r="A20" s="22" t="n">
        <v>19</v>
      </c>
      <c r="B20" s="25" t="n">
        <f aca="false">'Start Here'!$B$3+A20-1</f>
        <v>46327</v>
      </c>
      <c r="C20" s="22"/>
      <c r="D20" s="22"/>
      <c r="E20" s="22"/>
      <c r="F20" s="22"/>
      <c r="G20" s="22"/>
      <c r="H20" s="22"/>
      <c r="I20" s="22"/>
      <c r="J20" s="22"/>
      <c r="K20" s="22"/>
      <c r="L20" s="22" t="n">
        <f aca="false">IF(B20&gt;='Learning Dashboard'!$B$3,B20-'Learning Dashboard'!$B$3+1,"")</f>
        <v>17</v>
      </c>
      <c r="M20" s="22"/>
      <c r="N20" s="22"/>
      <c r="O20" s="22"/>
      <c r="P20" s="22"/>
      <c r="Q20" s="22"/>
      <c r="R20" s="22"/>
    </row>
    <row r="21" customFormat="false" ht="15" hidden="false" customHeight="true" outlineLevel="0" collapsed="false">
      <c r="A21" s="22" t="n">
        <v>20</v>
      </c>
      <c r="B21" s="25" t="n">
        <f aca="false">'Start Here'!$B$3+A21-1</f>
        <v>46328</v>
      </c>
      <c r="C21" s="22"/>
      <c r="D21" s="22"/>
      <c r="E21" s="22"/>
      <c r="F21" s="22"/>
      <c r="G21" s="22"/>
      <c r="H21" s="22"/>
      <c r="I21" s="22"/>
      <c r="J21" s="22"/>
      <c r="K21" s="22"/>
      <c r="L21" s="22" t="n">
        <f aca="false">IF(B21&gt;='Learning Dashboard'!$B$3,B21-'Learning Dashboard'!$B$3+1,"")</f>
        <v>18</v>
      </c>
      <c r="M21" s="22"/>
      <c r="N21" s="22"/>
      <c r="O21" s="22"/>
      <c r="P21" s="22"/>
      <c r="Q21" s="22"/>
      <c r="R21" s="22"/>
    </row>
    <row r="22" customFormat="false" ht="15" hidden="false" customHeight="true" outlineLevel="0" collapsed="false">
      <c r="A22" s="22" t="n">
        <v>21</v>
      </c>
      <c r="B22" s="25" t="n">
        <f aca="false">'Start Here'!$B$3+A22-1</f>
        <v>46329</v>
      </c>
      <c r="C22" s="22"/>
      <c r="D22" s="22"/>
      <c r="E22" s="22"/>
      <c r="F22" s="22"/>
      <c r="G22" s="22"/>
      <c r="H22" s="22"/>
      <c r="I22" s="22"/>
      <c r="J22" s="22"/>
      <c r="K22" s="22"/>
      <c r="L22" s="22" t="n">
        <f aca="false">IF(B22&gt;='Learning Dashboard'!$B$3,B22-'Learning Dashboard'!$B$3+1,"")</f>
        <v>19</v>
      </c>
      <c r="M22" s="22"/>
      <c r="N22" s="22"/>
      <c r="O22" s="22"/>
      <c r="P22" s="22"/>
      <c r="Q22" s="22"/>
      <c r="R22" s="22"/>
    </row>
    <row r="23" customFormat="false" ht="15" hidden="false" customHeight="true" outlineLevel="0" collapsed="false">
      <c r="A23" s="22" t="n">
        <v>22</v>
      </c>
      <c r="B23" s="25" t="n">
        <f aca="false">'Start Here'!$B$3+A23-1</f>
        <v>46330</v>
      </c>
      <c r="C23" s="22"/>
      <c r="D23" s="22"/>
      <c r="E23" s="22"/>
      <c r="F23" s="22"/>
      <c r="G23" s="22"/>
      <c r="H23" s="22"/>
      <c r="I23" s="22"/>
      <c r="J23" s="22"/>
      <c r="K23" s="22"/>
      <c r="L23" s="22" t="n">
        <f aca="false">IF(B23&gt;='Learning Dashboard'!$B$3,B23-'Learning Dashboard'!$B$3+1,"")</f>
        <v>20</v>
      </c>
      <c r="M23" s="22"/>
      <c r="N23" s="22"/>
      <c r="O23" s="22"/>
      <c r="P23" s="22"/>
      <c r="Q23" s="22"/>
      <c r="R23" s="22"/>
    </row>
    <row r="24" customFormat="false" ht="15" hidden="false" customHeight="true" outlineLevel="0" collapsed="false">
      <c r="A24" s="22" t="n">
        <v>23</v>
      </c>
      <c r="B24" s="25" t="n">
        <f aca="false">'Start Here'!$B$3+A24-1</f>
        <v>46331</v>
      </c>
      <c r="C24" s="22"/>
      <c r="D24" s="22"/>
      <c r="E24" s="22"/>
      <c r="F24" s="22"/>
      <c r="G24" s="22"/>
      <c r="H24" s="22"/>
      <c r="I24" s="22"/>
      <c r="J24" s="22"/>
      <c r="K24" s="22"/>
      <c r="L24" s="22" t="n">
        <f aca="false">IF(B24&gt;='Learning Dashboard'!$B$3,B24-'Learning Dashboard'!$B$3+1,"")</f>
        <v>21</v>
      </c>
      <c r="M24" s="22"/>
      <c r="N24" s="22"/>
      <c r="O24" s="22"/>
      <c r="P24" s="22"/>
      <c r="Q24" s="22"/>
      <c r="R24" s="22"/>
    </row>
    <row r="25" customFormat="false" ht="15" hidden="false" customHeight="true" outlineLevel="0" collapsed="false">
      <c r="A25" s="22" t="n">
        <v>24</v>
      </c>
      <c r="B25" s="25" t="n">
        <f aca="false">'Start Here'!$B$3+A25-1</f>
        <v>46332</v>
      </c>
      <c r="C25" s="22"/>
      <c r="D25" s="22"/>
      <c r="E25" s="22"/>
      <c r="F25" s="22"/>
      <c r="G25" s="22"/>
      <c r="H25" s="22"/>
      <c r="I25" s="22"/>
      <c r="J25" s="22"/>
      <c r="K25" s="22"/>
      <c r="L25" s="22" t="n">
        <f aca="false">IF(B25&gt;='Learning Dashboard'!$B$3,B25-'Learning Dashboard'!$B$3+1,"")</f>
        <v>22</v>
      </c>
      <c r="M25" s="22"/>
      <c r="N25" s="22"/>
      <c r="O25" s="22"/>
      <c r="P25" s="22"/>
      <c r="Q25" s="22"/>
      <c r="R25" s="22"/>
    </row>
    <row r="26" customFormat="false" ht="15" hidden="false" customHeight="true" outlineLevel="0" collapsed="false">
      <c r="A26" s="22" t="n">
        <v>25</v>
      </c>
      <c r="B26" s="25" t="n">
        <f aca="false">'Start Here'!$B$3+A26-1</f>
        <v>46333</v>
      </c>
      <c r="C26" s="22"/>
      <c r="D26" s="22"/>
      <c r="E26" s="22"/>
      <c r="F26" s="22"/>
      <c r="G26" s="22"/>
      <c r="H26" s="22"/>
      <c r="I26" s="22"/>
      <c r="J26" s="22"/>
      <c r="K26" s="22"/>
      <c r="L26" s="22" t="n">
        <f aca="false">IF(B26&gt;='Learning Dashboard'!$B$3,B26-'Learning Dashboard'!$B$3+1,"")</f>
        <v>23</v>
      </c>
      <c r="M26" s="22"/>
      <c r="N26" s="22"/>
      <c r="O26" s="22"/>
      <c r="P26" s="22"/>
      <c r="Q26" s="22"/>
      <c r="R26" s="22"/>
    </row>
    <row r="27" customFormat="false" ht="15" hidden="false" customHeight="true" outlineLevel="0" collapsed="false">
      <c r="A27" s="22" t="n">
        <v>26</v>
      </c>
      <c r="B27" s="25" t="n">
        <f aca="false">'Start Here'!$B$3+A27-1</f>
        <v>46334</v>
      </c>
      <c r="C27" s="22"/>
      <c r="D27" s="22"/>
      <c r="E27" s="22"/>
      <c r="F27" s="22"/>
      <c r="G27" s="22"/>
      <c r="H27" s="22"/>
      <c r="I27" s="22"/>
      <c r="J27" s="22"/>
      <c r="K27" s="22"/>
      <c r="L27" s="22" t="n">
        <f aca="false">IF(B27&gt;='Learning Dashboard'!$B$3,B27-'Learning Dashboard'!$B$3+1,"")</f>
        <v>24</v>
      </c>
      <c r="M27" s="22"/>
      <c r="N27" s="22"/>
      <c r="O27" s="22"/>
      <c r="P27" s="22"/>
      <c r="Q27" s="22"/>
      <c r="R27" s="22"/>
    </row>
    <row r="28" customFormat="false" ht="15" hidden="false" customHeight="true" outlineLevel="0" collapsed="false">
      <c r="A28" s="22" t="n">
        <v>27</v>
      </c>
      <c r="B28" s="25" t="n">
        <f aca="false">'Start Here'!$B$3+A28-1</f>
        <v>46335</v>
      </c>
      <c r="C28" s="22"/>
      <c r="D28" s="22"/>
      <c r="E28" s="22"/>
      <c r="F28" s="22"/>
      <c r="G28" s="22"/>
      <c r="H28" s="22"/>
      <c r="I28" s="22"/>
      <c r="J28" s="22"/>
      <c r="K28" s="22"/>
      <c r="L28" s="22" t="n">
        <f aca="false">IF(B28&gt;='Learning Dashboard'!$B$3,B28-'Learning Dashboard'!$B$3+1,"")</f>
        <v>25</v>
      </c>
      <c r="M28" s="22"/>
      <c r="N28" s="22"/>
      <c r="O28" s="22"/>
      <c r="P28" s="22"/>
      <c r="Q28" s="22"/>
      <c r="R28" s="22"/>
    </row>
    <row r="29" customFormat="false" ht="15" hidden="false" customHeight="true" outlineLevel="0" collapsed="false">
      <c r="A29" s="22" t="n">
        <v>28</v>
      </c>
      <c r="B29" s="25" t="n">
        <f aca="false">'Start Here'!$B$3+A29-1</f>
        <v>46336</v>
      </c>
      <c r="C29" s="22"/>
      <c r="D29" s="22"/>
      <c r="E29" s="22"/>
      <c r="F29" s="22"/>
      <c r="G29" s="22"/>
      <c r="H29" s="22"/>
      <c r="I29" s="22"/>
      <c r="J29" s="22"/>
      <c r="K29" s="22"/>
      <c r="L29" s="22" t="n">
        <f aca="false">IF(B29&gt;='Learning Dashboard'!$B$3,B29-'Learning Dashboard'!$B$3+1,"")</f>
        <v>26</v>
      </c>
      <c r="M29" s="22"/>
      <c r="N29" s="22"/>
      <c r="O29" s="22"/>
      <c r="P29" s="22"/>
      <c r="Q29" s="22"/>
      <c r="R29" s="22"/>
    </row>
    <row r="30" customFormat="false" ht="15" hidden="false" customHeight="true" outlineLevel="0" collapsed="false">
      <c r="A30" s="22" t="n">
        <v>29</v>
      </c>
      <c r="B30" s="25" t="n">
        <f aca="false">'Start Here'!$B$3+A30-1</f>
        <v>46337</v>
      </c>
      <c r="C30" s="22"/>
      <c r="D30" s="22"/>
      <c r="E30" s="22"/>
      <c r="F30" s="22"/>
      <c r="G30" s="22"/>
      <c r="H30" s="22"/>
      <c r="I30" s="22"/>
      <c r="J30" s="22"/>
      <c r="K30" s="22"/>
      <c r="L30" s="22" t="n">
        <f aca="false">IF(B30&gt;='Learning Dashboard'!$B$3,B30-'Learning Dashboard'!$B$3+1,"")</f>
        <v>27</v>
      </c>
      <c r="M30" s="22"/>
      <c r="N30" s="22"/>
      <c r="O30" s="22"/>
      <c r="P30" s="22"/>
      <c r="Q30" s="22"/>
      <c r="R30" s="22"/>
    </row>
    <row r="31" customFormat="false" ht="15" hidden="false" customHeight="true" outlineLevel="0" collapsed="false">
      <c r="A31" s="22" t="n">
        <v>30</v>
      </c>
      <c r="B31" s="25" t="n">
        <f aca="false">'Start Here'!$B$3+A31-1</f>
        <v>46338</v>
      </c>
      <c r="C31" s="22"/>
      <c r="D31" s="22"/>
      <c r="E31" s="22"/>
      <c r="F31" s="22"/>
      <c r="G31" s="22"/>
      <c r="H31" s="22"/>
      <c r="I31" s="22"/>
      <c r="J31" s="22"/>
      <c r="K31" s="22"/>
      <c r="L31" s="22" t="n">
        <f aca="false">IF(B31&gt;='Learning Dashboard'!$B$3,B31-'Learning Dashboard'!$B$3+1,"")</f>
        <v>28</v>
      </c>
      <c r="M31" s="22"/>
      <c r="N31" s="22"/>
      <c r="O31" s="22"/>
      <c r="P31" s="22"/>
      <c r="Q31" s="22"/>
      <c r="R31" s="22"/>
    </row>
    <row r="32" customFormat="false" ht="15" hidden="false" customHeight="true" outlineLevel="0" collapsed="false">
      <c r="A32" s="22" t="n">
        <v>31</v>
      </c>
      <c r="B32" s="25" t="n">
        <f aca="false">'Start Here'!$B$3+A32-1</f>
        <v>46339</v>
      </c>
      <c r="C32" s="22"/>
      <c r="D32" s="22"/>
      <c r="E32" s="22"/>
      <c r="F32" s="22"/>
      <c r="G32" s="22"/>
      <c r="H32" s="22"/>
      <c r="I32" s="22"/>
      <c r="J32" s="22"/>
      <c r="K32" s="22"/>
      <c r="L32" s="22" t="n">
        <f aca="false">IF(B32&gt;='Learning Dashboard'!$B$3,B32-'Learning Dashboard'!$B$3+1,"")</f>
        <v>29</v>
      </c>
      <c r="M32" s="22"/>
      <c r="N32" s="22"/>
      <c r="O32" s="22"/>
      <c r="P32" s="22"/>
      <c r="Q32" s="22"/>
      <c r="R32" s="22"/>
    </row>
    <row r="33" customFormat="false" ht="15" hidden="false" customHeight="true" outlineLevel="0" collapsed="false">
      <c r="A33" s="22" t="n">
        <v>32</v>
      </c>
      <c r="B33" s="25" t="n">
        <f aca="false">'Start Here'!$B$3+A33-1</f>
        <v>46340</v>
      </c>
      <c r="C33" s="22"/>
      <c r="D33" s="22"/>
      <c r="E33" s="22"/>
      <c r="F33" s="22"/>
      <c r="G33" s="22"/>
      <c r="H33" s="22"/>
      <c r="I33" s="22"/>
      <c r="J33" s="22"/>
      <c r="K33" s="22"/>
      <c r="L33" s="22" t="n">
        <f aca="false">IF(B33&gt;='Learning Dashboard'!$B$3,B33-'Learning Dashboard'!$B$3+1,"")</f>
        <v>30</v>
      </c>
      <c r="M33" s="22"/>
      <c r="N33" s="22"/>
      <c r="O33" s="22"/>
      <c r="P33" s="22"/>
      <c r="Q33" s="22"/>
      <c r="R33" s="22"/>
    </row>
    <row r="34" customFormat="false" ht="15" hidden="false" customHeight="true" outlineLevel="0" collapsed="false">
      <c r="A34" s="22" t="n">
        <v>33</v>
      </c>
      <c r="B34" s="25" t="n">
        <f aca="false">'Start Here'!$B$3+A34-1</f>
        <v>46341</v>
      </c>
      <c r="C34" s="22"/>
      <c r="D34" s="22"/>
      <c r="E34" s="22"/>
      <c r="F34" s="22"/>
      <c r="G34" s="22"/>
      <c r="H34" s="22"/>
      <c r="I34" s="22"/>
      <c r="J34" s="22"/>
      <c r="K34" s="22"/>
      <c r="L34" s="22" t="n">
        <f aca="false">IF(B34&gt;='Learning Dashboard'!$B$3,B34-'Learning Dashboard'!$B$3+1,"")</f>
        <v>31</v>
      </c>
      <c r="M34" s="22"/>
      <c r="N34" s="22"/>
      <c r="O34" s="22"/>
      <c r="P34" s="22"/>
      <c r="Q34" s="22"/>
      <c r="R34" s="22"/>
    </row>
    <row r="35" customFormat="false" ht="15" hidden="false" customHeight="true" outlineLevel="0" collapsed="false">
      <c r="A35" s="22" t="n">
        <v>34</v>
      </c>
      <c r="B35" s="25" t="n">
        <f aca="false">'Start Here'!$B$3+A35-1</f>
        <v>46342</v>
      </c>
      <c r="C35" s="22"/>
      <c r="D35" s="22"/>
      <c r="E35" s="22"/>
      <c r="F35" s="22"/>
      <c r="G35" s="22"/>
      <c r="H35" s="22"/>
      <c r="I35" s="22"/>
      <c r="J35" s="22"/>
      <c r="K35" s="22"/>
      <c r="L35" s="22" t="n">
        <f aca="false">IF(B35&gt;='Learning Dashboard'!$B$3,B35-'Learning Dashboard'!$B$3+1,"")</f>
        <v>32</v>
      </c>
      <c r="M35" s="22"/>
      <c r="N35" s="22"/>
      <c r="O35" s="22"/>
      <c r="P35" s="22"/>
      <c r="Q35" s="22"/>
      <c r="R35" s="22"/>
    </row>
    <row r="36" customFormat="false" ht="15" hidden="false" customHeight="true" outlineLevel="0" collapsed="false">
      <c r="A36" s="22" t="n">
        <v>35</v>
      </c>
      <c r="B36" s="25" t="n">
        <f aca="false">'Start Here'!$B$3+A36-1</f>
        <v>46343</v>
      </c>
      <c r="C36" s="22"/>
      <c r="D36" s="22"/>
      <c r="E36" s="22"/>
      <c r="F36" s="22"/>
      <c r="G36" s="22"/>
      <c r="H36" s="22"/>
      <c r="I36" s="22"/>
      <c r="J36" s="22"/>
      <c r="K36" s="22"/>
      <c r="L36" s="22" t="n">
        <f aca="false">IF(B36&gt;='Learning Dashboard'!$B$3,B36-'Learning Dashboard'!$B$3+1,"")</f>
        <v>33</v>
      </c>
      <c r="M36" s="22"/>
      <c r="N36" s="22"/>
      <c r="O36" s="22"/>
      <c r="P36" s="22"/>
      <c r="Q36" s="22"/>
      <c r="R36" s="22"/>
    </row>
    <row r="37" customFormat="false" ht="15" hidden="false" customHeight="true" outlineLevel="0" collapsed="false">
      <c r="A37" s="22" t="n">
        <v>36</v>
      </c>
      <c r="B37" s="25" t="n">
        <f aca="false">'Start Here'!$B$3+A37-1</f>
        <v>46344</v>
      </c>
      <c r="C37" s="22"/>
      <c r="D37" s="22"/>
      <c r="E37" s="22"/>
      <c r="F37" s="22"/>
      <c r="G37" s="22"/>
      <c r="H37" s="22"/>
      <c r="I37" s="22"/>
      <c r="J37" s="22"/>
      <c r="K37" s="22"/>
      <c r="L37" s="22" t="n">
        <f aca="false">IF(B37&gt;='Learning Dashboard'!$B$3,B37-'Learning Dashboard'!$B$3+1,"")</f>
        <v>34</v>
      </c>
      <c r="M37" s="22"/>
      <c r="N37" s="22"/>
      <c r="O37" s="22"/>
      <c r="P37" s="22"/>
      <c r="Q37" s="22"/>
      <c r="R37" s="22"/>
    </row>
    <row r="38" customFormat="false" ht="15" hidden="false" customHeight="true" outlineLevel="0" collapsed="false">
      <c r="A38" s="22" t="n">
        <v>37</v>
      </c>
      <c r="B38" s="25" t="n">
        <f aca="false">'Start Here'!$B$3+A38-1</f>
        <v>46345</v>
      </c>
      <c r="C38" s="22"/>
      <c r="D38" s="22"/>
      <c r="E38" s="22"/>
      <c r="F38" s="22"/>
      <c r="G38" s="22"/>
      <c r="H38" s="22"/>
      <c r="I38" s="22"/>
      <c r="J38" s="22"/>
      <c r="K38" s="22"/>
      <c r="L38" s="22" t="n">
        <f aca="false">IF(B38&gt;='Learning Dashboard'!$B$3,B38-'Learning Dashboard'!$B$3+1,"")</f>
        <v>35</v>
      </c>
      <c r="M38" s="22"/>
      <c r="N38" s="22"/>
      <c r="O38" s="22"/>
      <c r="P38" s="22"/>
      <c r="Q38" s="22"/>
      <c r="R38" s="22"/>
    </row>
    <row r="39" customFormat="false" ht="15" hidden="false" customHeight="true" outlineLevel="0" collapsed="false">
      <c r="A39" s="22" t="n">
        <v>38</v>
      </c>
      <c r="B39" s="25" t="n">
        <f aca="false">'Start Here'!$B$3+A39-1</f>
        <v>46346</v>
      </c>
      <c r="C39" s="22"/>
      <c r="D39" s="22"/>
      <c r="E39" s="22"/>
      <c r="F39" s="22"/>
      <c r="G39" s="22"/>
      <c r="H39" s="22"/>
      <c r="I39" s="22"/>
      <c r="J39" s="22"/>
      <c r="K39" s="22"/>
      <c r="L39" s="22" t="n">
        <f aca="false">IF(B39&gt;='Learning Dashboard'!$B$3,B39-'Learning Dashboard'!$B$3+1,"")</f>
        <v>36</v>
      </c>
      <c r="M39" s="22"/>
      <c r="N39" s="22"/>
      <c r="O39" s="22"/>
      <c r="P39" s="22"/>
      <c r="Q39" s="22"/>
      <c r="R39" s="22"/>
    </row>
    <row r="40" customFormat="false" ht="15" hidden="false" customHeight="true" outlineLevel="0" collapsed="false">
      <c r="A40" s="22" t="n">
        <v>39</v>
      </c>
      <c r="B40" s="25" t="n">
        <f aca="false">'Start Here'!$B$3+A40-1</f>
        <v>46347</v>
      </c>
      <c r="C40" s="22"/>
      <c r="D40" s="22"/>
      <c r="E40" s="22"/>
      <c r="F40" s="22"/>
      <c r="G40" s="22"/>
      <c r="H40" s="22"/>
      <c r="I40" s="22"/>
      <c r="J40" s="22"/>
      <c r="K40" s="22"/>
      <c r="L40" s="22" t="n">
        <f aca="false">IF(B40&gt;='Learning Dashboard'!$B$3,B40-'Learning Dashboard'!$B$3+1,"")</f>
        <v>37</v>
      </c>
      <c r="M40" s="22"/>
      <c r="N40" s="22"/>
      <c r="O40" s="22"/>
      <c r="P40" s="22"/>
      <c r="Q40" s="22"/>
      <c r="R40" s="22"/>
    </row>
    <row r="41" customFormat="false" ht="15" hidden="false" customHeight="true" outlineLevel="0" collapsed="false">
      <c r="A41" s="22" t="n">
        <v>40</v>
      </c>
      <c r="B41" s="25" t="n">
        <f aca="false">'Start Here'!$B$3+A41-1</f>
        <v>46348</v>
      </c>
      <c r="C41" s="22"/>
      <c r="D41" s="22"/>
      <c r="E41" s="22"/>
      <c r="F41" s="22"/>
      <c r="G41" s="22"/>
      <c r="H41" s="22"/>
      <c r="I41" s="22"/>
      <c r="J41" s="22"/>
      <c r="K41" s="22"/>
      <c r="L41" s="22" t="n">
        <f aca="false">IF(B41&gt;='Learning Dashboard'!$B$3,B41-'Learning Dashboard'!$B$3+1,"")</f>
        <v>38</v>
      </c>
      <c r="M41" s="22"/>
      <c r="N41" s="22"/>
      <c r="O41" s="22"/>
      <c r="P41" s="22"/>
      <c r="Q41" s="22"/>
      <c r="R41" s="22"/>
    </row>
    <row r="42" customFormat="false" ht="15" hidden="false" customHeight="true" outlineLevel="0" collapsed="false">
      <c r="A42" s="22" t="n">
        <v>41</v>
      </c>
      <c r="B42" s="25" t="n">
        <f aca="false">'Start Here'!$B$3+A42-1</f>
        <v>46349</v>
      </c>
      <c r="C42" s="22"/>
      <c r="D42" s="22"/>
      <c r="E42" s="22"/>
      <c r="F42" s="22"/>
      <c r="G42" s="22"/>
      <c r="H42" s="22"/>
      <c r="I42" s="22"/>
      <c r="J42" s="22"/>
      <c r="K42" s="22"/>
      <c r="L42" s="22" t="n">
        <f aca="false">IF(B42&gt;='Learning Dashboard'!$B$3,B42-'Learning Dashboard'!$B$3+1,"")</f>
        <v>39</v>
      </c>
      <c r="M42" s="22"/>
      <c r="N42" s="22"/>
      <c r="O42" s="22"/>
      <c r="P42" s="22"/>
      <c r="Q42" s="22"/>
      <c r="R42" s="22"/>
    </row>
    <row r="43" customFormat="false" ht="15" hidden="false" customHeight="true" outlineLevel="0" collapsed="false">
      <c r="A43" s="22" t="n">
        <v>42</v>
      </c>
      <c r="B43" s="25" t="n">
        <f aca="false">'Start Here'!$B$3+A43-1</f>
        <v>46350</v>
      </c>
      <c r="C43" s="22"/>
      <c r="D43" s="22"/>
      <c r="E43" s="22"/>
      <c r="F43" s="22"/>
      <c r="G43" s="22"/>
      <c r="H43" s="22"/>
      <c r="I43" s="22"/>
      <c r="J43" s="22"/>
      <c r="K43" s="22"/>
      <c r="L43" s="22" t="n">
        <f aca="false">IF(B43&gt;='Learning Dashboard'!$B$3,B43-'Learning Dashboard'!$B$3+1,"")</f>
        <v>40</v>
      </c>
      <c r="M43" s="22"/>
      <c r="N43" s="22"/>
      <c r="O43" s="22"/>
      <c r="P43" s="22"/>
      <c r="Q43" s="22"/>
      <c r="R43" s="22"/>
    </row>
    <row r="44" customFormat="false" ht="15" hidden="false" customHeight="true" outlineLevel="0" collapsed="false">
      <c r="A44" s="22" t="n">
        <v>43</v>
      </c>
      <c r="B44" s="25" t="n">
        <f aca="false">'Start Here'!$B$3+A44-1</f>
        <v>46351</v>
      </c>
      <c r="C44" s="22"/>
      <c r="D44" s="22"/>
      <c r="E44" s="22"/>
      <c r="F44" s="22"/>
      <c r="G44" s="22"/>
      <c r="H44" s="22"/>
      <c r="I44" s="22"/>
      <c r="J44" s="22"/>
      <c r="K44" s="22"/>
      <c r="L44" s="22" t="n">
        <f aca="false">IF(B44&gt;='Learning Dashboard'!$B$3,B44-'Learning Dashboard'!$B$3+1,"")</f>
        <v>41</v>
      </c>
      <c r="M44" s="22"/>
      <c r="N44" s="22"/>
      <c r="O44" s="22"/>
      <c r="P44" s="22"/>
      <c r="Q44" s="22"/>
      <c r="R44" s="22"/>
    </row>
    <row r="45" customFormat="false" ht="15" hidden="false" customHeight="true" outlineLevel="0" collapsed="false">
      <c r="A45" s="22" t="n">
        <v>44</v>
      </c>
      <c r="B45" s="25" t="n">
        <f aca="false">'Start Here'!$B$3+A45-1</f>
        <v>46352</v>
      </c>
      <c r="C45" s="22"/>
      <c r="D45" s="22"/>
      <c r="E45" s="22"/>
      <c r="F45" s="22"/>
      <c r="G45" s="22"/>
      <c r="H45" s="22"/>
      <c r="I45" s="22"/>
      <c r="J45" s="22"/>
      <c r="K45" s="22"/>
      <c r="L45" s="22" t="n">
        <f aca="false">IF(B45&gt;='Learning Dashboard'!$B$3,B45-'Learning Dashboard'!$B$3+1,"")</f>
        <v>42</v>
      </c>
      <c r="M45" s="22"/>
      <c r="N45" s="22"/>
      <c r="O45" s="22"/>
      <c r="P45" s="22"/>
      <c r="Q45" s="22"/>
      <c r="R45" s="22"/>
    </row>
    <row r="46" customFormat="false" ht="15" hidden="false" customHeight="true" outlineLevel="0" collapsed="false">
      <c r="A46" s="22" t="n">
        <v>45</v>
      </c>
      <c r="B46" s="25" t="n">
        <f aca="false">'Start Here'!$B$3+A46-1</f>
        <v>46353</v>
      </c>
      <c r="C46" s="22"/>
      <c r="D46" s="22"/>
      <c r="E46" s="22"/>
      <c r="F46" s="22"/>
      <c r="G46" s="22"/>
      <c r="H46" s="22"/>
      <c r="I46" s="22"/>
      <c r="J46" s="22"/>
      <c r="K46" s="22"/>
      <c r="L46" s="22" t="n">
        <f aca="false">IF(B46&gt;='Learning Dashboard'!$B$3,B46-'Learning Dashboard'!$B$3+1,"")</f>
        <v>43</v>
      </c>
      <c r="M46" s="22"/>
      <c r="N46" s="22"/>
      <c r="O46" s="22"/>
      <c r="P46" s="22"/>
      <c r="Q46" s="22"/>
      <c r="R46" s="22"/>
    </row>
    <row r="47" customFormat="false" ht="15" hidden="false" customHeight="true" outlineLevel="0" collapsed="false">
      <c r="A47" s="22" t="n">
        <v>46</v>
      </c>
      <c r="B47" s="25" t="n">
        <f aca="false">'Start Here'!$B$3+A47-1</f>
        <v>46354</v>
      </c>
      <c r="C47" s="22"/>
      <c r="D47" s="22"/>
      <c r="E47" s="22"/>
      <c r="F47" s="22"/>
      <c r="G47" s="22"/>
      <c r="H47" s="22"/>
      <c r="I47" s="22"/>
      <c r="J47" s="22"/>
      <c r="K47" s="22"/>
      <c r="L47" s="22" t="n">
        <f aca="false">IF(B47&gt;='Learning Dashboard'!$B$3,B47-'Learning Dashboard'!$B$3+1,"")</f>
        <v>44</v>
      </c>
      <c r="M47" s="22"/>
      <c r="N47" s="22"/>
      <c r="O47" s="22"/>
      <c r="P47" s="22"/>
      <c r="Q47" s="22"/>
      <c r="R47" s="22"/>
    </row>
    <row r="48" customFormat="false" ht="15" hidden="false" customHeight="true" outlineLevel="0" collapsed="false">
      <c r="A48" s="22" t="n">
        <v>47</v>
      </c>
      <c r="B48" s="25" t="n">
        <f aca="false">'Start Here'!$B$3+A48-1</f>
        <v>46355</v>
      </c>
      <c r="C48" s="22"/>
      <c r="D48" s="22"/>
      <c r="E48" s="22"/>
      <c r="F48" s="22"/>
      <c r="G48" s="22"/>
      <c r="H48" s="22"/>
      <c r="I48" s="22"/>
      <c r="J48" s="22"/>
      <c r="K48" s="22"/>
      <c r="L48" s="22" t="n">
        <f aca="false">IF(B48&gt;='Learning Dashboard'!$B$3,B48-'Learning Dashboard'!$B$3+1,"")</f>
        <v>45</v>
      </c>
      <c r="M48" s="22"/>
      <c r="N48" s="22"/>
      <c r="O48" s="22"/>
      <c r="P48" s="22"/>
      <c r="Q48" s="22"/>
      <c r="R48" s="22"/>
    </row>
    <row r="49" customFormat="false" ht="15" hidden="false" customHeight="true" outlineLevel="0" collapsed="false">
      <c r="A49" s="22" t="n">
        <v>48</v>
      </c>
      <c r="B49" s="25" t="n">
        <f aca="false">'Start Here'!$B$3+A49-1</f>
        <v>46356</v>
      </c>
      <c r="C49" s="22"/>
      <c r="D49" s="22"/>
      <c r="E49" s="22"/>
      <c r="F49" s="22"/>
      <c r="G49" s="22"/>
      <c r="H49" s="22"/>
      <c r="I49" s="22"/>
      <c r="J49" s="22"/>
      <c r="K49" s="22"/>
      <c r="L49" s="22" t="n">
        <f aca="false">IF(B49&gt;='Learning Dashboard'!$B$3,B49-'Learning Dashboard'!$B$3+1,"")</f>
        <v>46</v>
      </c>
      <c r="M49" s="22"/>
      <c r="N49" s="22"/>
      <c r="O49" s="22"/>
      <c r="P49" s="22"/>
      <c r="Q49" s="22"/>
      <c r="R49" s="22"/>
    </row>
    <row r="50" customFormat="false" ht="15" hidden="false" customHeight="true" outlineLevel="0" collapsed="false">
      <c r="A50" s="22" t="n">
        <v>49</v>
      </c>
      <c r="B50" s="25" t="n">
        <f aca="false">'Start Here'!$B$3+A50-1</f>
        <v>46357</v>
      </c>
      <c r="C50" s="22"/>
      <c r="D50" s="22"/>
      <c r="E50" s="22"/>
      <c r="F50" s="22"/>
      <c r="G50" s="22"/>
      <c r="H50" s="22"/>
      <c r="I50" s="22"/>
      <c r="J50" s="22"/>
      <c r="K50" s="22"/>
      <c r="L50" s="22" t="n">
        <f aca="false">IF(B50&gt;='Learning Dashboard'!$B$3,B50-'Learning Dashboard'!$B$3+1,"")</f>
        <v>47</v>
      </c>
      <c r="M50" s="22"/>
      <c r="N50" s="22"/>
      <c r="O50" s="22"/>
      <c r="P50" s="22"/>
      <c r="Q50" s="22"/>
      <c r="R50" s="22"/>
    </row>
    <row r="51" customFormat="false" ht="15" hidden="false" customHeight="true" outlineLevel="0" collapsed="false">
      <c r="A51" s="22" t="n">
        <v>50</v>
      </c>
      <c r="B51" s="25" t="n">
        <f aca="false">'Start Here'!$B$3+A51-1</f>
        <v>46358</v>
      </c>
      <c r="C51" s="22"/>
      <c r="D51" s="22"/>
      <c r="E51" s="22"/>
      <c r="F51" s="22"/>
      <c r="G51" s="22"/>
      <c r="H51" s="22"/>
      <c r="I51" s="22"/>
      <c r="J51" s="22"/>
      <c r="K51" s="22"/>
      <c r="L51" s="22" t="n">
        <f aca="false">IF(B51&gt;='Learning Dashboard'!$B$3,B51-'Learning Dashboard'!$B$3+1,"")</f>
        <v>48</v>
      </c>
      <c r="M51" s="22"/>
      <c r="N51" s="22"/>
      <c r="O51" s="22"/>
      <c r="P51" s="22"/>
      <c r="Q51" s="22"/>
      <c r="R51" s="22"/>
    </row>
    <row r="52" customFormat="false" ht="15" hidden="false" customHeight="true" outlineLevel="0" collapsed="false">
      <c r="A52" s="22" t="n">
        <v>51</v>
      </c>
      <c r="B52" s="25" t="n">
        <f aca="false">'Start Here'!$B$3+A52-1</f>
        <v>46359</v>
      </c>
      <c r="C52" s="22"/>
      <c r="D52" s="22"/>
      <c r="E52" s="22"/>
      <c r="F52" s="22"/>
      <c r="G52" s="22"/>
      <c r="H52" s="22"/>
      <c r="I52" s="22"/>
      <c r="J52" s="22"/>
      <c r="K52" s="22"/>
      <c r="L52" s="22" t="n">
        <f aca="false">IF(B52&gt;='Learning Dashboard'!$B$3,B52-'Learning Dashboard'!$B$3+1,"")</f>
        <v>49</v>
      </c>
      <c r="M52" s="22"/>
      <c r="N52" s="22"/>
      <c r="O52" s="22"/>
      <c r="P52" s="22"/>
      <c r="Q52" s="22"/>
      <c r="R52" s="22"/>
    </row>
    <row r="53" customFormat="false" ht="15" hidden="false" customHeight="true" outlineLevel="0" collapsed="false">
      <c r="A53" s="22" t="n">
        <v>52</v>
      </c>
      <c r="B53" s="25" t="n">
        <f aca="false">'Start Here'!$B$3+A53-1</f>
        <v>46360</v>
      </c>
      <c r="C53" s="22"/>
      <c r="D53" s="22"/>
      <c r="E53" s="22"/>
      <c r="F53" s="22"/>
      <c r="G53" s="22"/>
      <c r="H53" s="22"/>
      <c r="I53" s="22"/>
      <c r="J53" s="22"/>
      <c r="K53" s="22"/>
      <c r="L53" s="22" t="n">
        <f aca="false">IF(B53&gt;='Learning Dashboard'!$B$3,B53-'Learning Dashboard'!$B$3+1,"")</f>
        <v>50</v>
      </c>
      <c r="M53" s="22"/>
      <c r="N53" s="22"/>
      <c r="O53" s="22"/>
      <c r="P53" s="22"/>
      <c r="Q53" s="22"/>
      <c r="R53" s="22"/>
    </row>
    <row r="54" customFormat="false" ht="15" hidden="false" customHeight="true" outlineLevel="0" collapsed="false">
      <c r="A54" s="22" t="n">
        <v>53</v>
      </c>
      <c r="B54" s="25" t="n">
        <f aca="false">'Start Here'!$B$3+A54-1</f>
        <v>46361</v>
      </c>
      <c r="C54" s="22"/>
      <c r="D54" s="22"/>
      <c r="E54" s="22"/>
      <c r="F54" s="22"/>
      <c r="G54" s="22"/>
      <c r="H54" s="22"/>
      <c r="I54" s="22"/>
      <c r="J54" s="22"/>
      <c r="K54" s="22"/>
      <c r="L54" s="22" t="n">
        <f aca="false">IF(B54&gt;='Learning Dashboard'!$B$3,B54-'Learning Dashboard'!$B$3+1,"")</f>
        <v>51</v>
      </c>
      <c r="M54" s="22"/>
      <c r="N54" s="22"/>
      <c r="O54" s="22"/>
      <c r="P54" s="22"/>
      <c r="Q54" s="22"/>
      <c r="R54" s="22"/>
    </row>
    <row r="55" customFormat="false" ht="15" hidden="false" customHeight="true" outlineLevel="0" collapsed="false">
      <c r="A55" s="22" t="n">
        <v>54</v>
      </c>
      <c r="B55" s="25" t="n">
        <f aca="false">'Start Here'!$B$3+A55-1</f>
        <v>46362</v>
      </c>
      <c r="C55" s="22"/>
      <c r="D55" s="22"/>
      <c r="E55" s="22"/>
      <c r="F55" s="22"/>
      <c r="G55" s="22"/>
      <c r="H55" s="22"/>
      <c r="I55" s="22"/>
      <c r="J55" s="22"/>
      <c r="K55" s="22"/>
      <c r="L55" s="22" t="n">
        <f aca="false">IF(B55&gt;='Learning Dashboard'!$B$3,B55-'Learning Dashboard'!$B$3+1,"")</f>
        <v>52</v>
      </c>
      <c r="M55" s="22"/>
      <c r="N55" s="22"/>
      <c r="O55" s="22"/>
      <c r="P55" s="22"/>
      <c r="Q55" s="22"/>
      <c r="R55" s="22"/>
    </row>
    <row r="56" customFormat="false" ht="15" hidden="false" customHeight="true" outlineLevel="0" collapsed="false">
      <c r="A56" s="22" t="n">
        <v>55</v>
      </c>
      <c r="B56" s="25" t="n">
        <f aca="false">'Start Here'!$B$3+A56-1</f>
        <v>46363</v>
      </c>
      <c r="C56" s="22"/>
      <c r="D56" s="22"/>
      <c r="E56" s="22"/>
      <c r="F56" s="22"/>
      <c r="G56" s="22"/>
      <c r="H56" s="22"/>
      <c r="I56" s="22"/>
      <c r="J56" s="22"/>
      <c r="K56" s="22"/>
      <c r="L56" s="22" t="n">
        <f aca="false">IF(B56&gt;='Learning Dashboard'!$B$3,B56-'Learning Dashboard'!$B$3+1,"")</f>
        <v>53</v>
      </c>
      <c r="M56" s="22"/>
      <c r="N56" s="22"/>
      <c r="O56" s="22"/>
      <c r="P56" s="22"/>
      <c r="Q56" s="22"/>
      <c r="R56" s="22"/>
    </row>
    <row r="57" customFormat="false" ht="15" hidden="false" customHeight="true" outlineLevel="0" collapsed="false">
      <c r="A57" s="22" t="n">
        <v>56</v>
      </c>
      <c r="B57" s="25" t="n">
        <f aca="false">'Start Here'!$B$3+A57-1</f>
        <v>46364</v>
      </c>
      <c r="C57" s="22"/>
      <c r="D57" s="22"/>
      <c r="E57" s="22"/>
      <c r="F57" s="22"/>
      <c r="G57" s="22"/>
      <c r="H57" s="22"/>
      <c r="I57" s="22"/>
      <c r="J57" s="22"/>
      <c r="K57" s="22"/>
      <c r="L57" s="22" t="n">
        <f aca="false">IF(B57&gt;='Learning Dashboard'!$B$3,B57-'Learning Dashboard'!$B$3+1,"")</f>
        <v>54</v>
      </c>
      <c r="M57" s="22"/>
      <c r="N57" s="22"/>
      <c r="O57" s="22"/>
      <c r="P57" s="22"/>
      <c r="Q57" s="22"/>
      <c r="R57" s="22"/>
    </row>
    <row r="58" customFormat="false" ht="15" hidden="false" customHeight="true" outlineLevel="0" collapsed="false">
      <c r="A58" s="22" t="n">
        <v>57</v>
      </c>
      <c r="B58" s="25" t="n">
        <f aca="false">'Start Here'!$B$3+A58-1</f>
        <v>46365</v>
      </c>
      <c r="C58" s="22"/>
      <c r="D58" s="22"/>
      <c r="E58" s="22"/>
      <c r="F58" s="22"/>
      <c r="G58" s="22"/>
      <c r="H58" s="22"/>
      <c r="I58" s="22"/>
      <c r="J58" s="22"/>
      <c r="K58" s="22"/>
      <c r="L58" s="22" t="n">
        <f aca="false">IF(B58&gt;='Learning Dashboard'!$B$3,B58-'Learning Dashboard'!$B$3+1,"")</f>
        <v>55</v>
      </c>
      <c r="M58" s="22"/>
      <c r="N58" s="22"/>
      <c r="O58" s="22"/>
      <c r="P58" s="22"/>
      <c r="Q58" s="22"/>
      <c r="R58" s="22"/>
    </row>
    <row r="59" customFormat="false" ht="15" hidden="false" customHeight="true" outlineLevel="0" collapsed="false">
      <c r="A59" s="22" t="n">
        <v>58</v>
      </c>
      <c r="B59" s="25" t="n">
        <f aca="false">'Start Here'!$B$3+A59-1</f>
        <v>46366</v>
      </c>
      <c r="C59" s="22"/>
      <c r="D59" s="22"/>
      <c r="E59" s="22"/>
      <c r="F59" s="22"/>
      <c r="G59" s="22"/>
      <c r="H59" s="22"/>
      <c r="I59" s="22"/>
      <c r="J59" s="22"/>
      <c r="K59" s="22"/>
      <c r="L59" s="22" t="n">
        <f aca="false">IF(B59&gt;='Learning Dashboard'!$B$3,B59-'Learning Dashboard'!$B$3+1,"")</f>
        <v>56</v>
      </c>
      <c r="M59" s="22"/>
      <c r="N59" s="22"/>
      <c r="O59" s="22"/>
      <c r="P59" s="22"/>
      <c r="Q59" s="22"/>
      <c r="R59" s="22"/>
    </row>
    <row r="60" customFormat="false" ht="15" hidden="false" customHeight="true" outlineLevel="0" collapsed="false">
      <c r="A60" s="22" t="n">
        <v>59</v>
      </c>
      <c r="B60" s="25" t="n">
        <f aca="false">'Start Here'!$B$3+A60-1</f>
        <v>46367</v>
      </c>
      <c r="C60" s="22"/>
      <c r="D60" s="22"/>
      <c r="E60" s="22"/>
      <c r="F60" s="22"/>
      <c r="G60" s="22"/>
      <c r="H60" s="22"/>
      <c r="I60" s="22"/>
      <c r="J60" s="22"/>
      <c r="K60" s="22"/>
      <c r="L60" s="22" t="n">
        <f aca="false">IF(B60&gt;='Learning Dashboard'!$B$3,B60-'Learning Dashboard'!$B$3+1,"")</f>
        <v>57</v>
      </c>
      <c r="M60" s="22"/>
      <c r="N60" s="22"/>
      <c r="O60" s="22"/>
      <c r="P60" s="22"/>
      <c r="Q60" s="22"/>
      <c r="R60" s="22"/>
    </row>
    <row r="61" customFormat="false" ht="15" hidden="false" customHeight="true" outlineLevel="0" collapsed="false">
      <c r="A61" s="22" t="n">
        <v>60</v>
      </c>
      <c r="B61" s="25" t="n">
        <f aca="false">'Start Here'!$B$3+A61-1</f>
        <v>46368</v>
      </c>
      <c r="C61" s="22"/>
      <c r="D61" s="22"/>
      <c r="E61" s="22"/>
      <c r="F61" s="22"/>
      <c r="G61" s="22"/>
      <c r="H61" s="22"/>
      <c r="I61" s="22"/>
      <c r="J61" s="22"/>
      <c r="K61" s="22"/>
      <c r="L61" s="22" t="n">
        <f aca="false">IF(B61&gt;='Learning Dashboard'!$B$3,B61-'Learning Dashboard'!$B$3+1,"")</f>
        <v>58</v>
      </c>
      <c r="M61" s="22"/>
      <c r="N61" s="22"/>
      <c r="O61" s="22"/>
      <c r="P61" s="22"/>
      <c r="Q61" s="22"/>
      <c r="R61" s="22"/>
    </row>
    <row r="62" customFormat="false" ht="15" hidden="false" customHeight="true" outlineLevel="0" collapsed="false">
      <c r="A62" s="22" t="n">
        <v>61</v>
      </c>
      <c r="B62" s="25" t="n">
        <f aca="false">'Start Here'!$B$3+A62-1</f>
        <v>46369</v>
      </c>
      <c r="C62" s="22"/>
      <c r="D62" s="22"/>
      <c r="E62" s="22"/>
      <c r="F62" s="22"/>
      <c r="G62" s="22"/>
      <c r="H62" s="22"/>
      <c r="I62" s="22"/>
      <c r="J62" s="22"/>
      <c r="K62" s="22"/>
      <c r="L62" s="22" t="n">
        <f aca="false">IF(B62&gt;='Learning Dashboard'!$B$3,B62-'Learning Dashboard'!$B$3+1,"")</f>
        <v>59</v>
      </c>
      <c r="M62" s="22"/>
      <c r="N62" s="22"/>
      <c r="O62" s="22"/>
      <c r="P62" s="22"/>
      <c r="Q62" s="22"/>
      <c r="R62" s="22"/>
    </row>
    <row r="63" customFormat="false" ht="15" hidden="false" customHeight="true" outlineLevel="0" collapsed="false">
      <c r="A63" s="22" t="n">
        <v>62</v>
      </c>
      <c r="B63" s="25" t="n">
        <f aca="false">'Start Here'!$B$3+A63-1</f>
        <v>46370</v>
      </c>
      <c r="C63" s="22"/>
      <c r="D63" s="22"/>
      <c r="E63" s="22"/>
      <c r="F63" s="22"/>
      <c r="G63" s="22"/>
      <c r="H63" s="22"/>
      <c r="I63" s="22"/>
      <c r="J63" s="22"/>
      <c r="K63" s="22"/>
      <c r="L63" s="22" t="n">
        <f aca="false">IF(B63&gt;='Learning Dashboard'!$B$3,B63-'Learning Dashboard'!$B$3+1,"")</f>
        <v>60</v>
      </c>
      <c r="M63" s="22"/>
      <c r="N63" s="22"/>
      <c r="O63" s="22"/>
      <c r="P63" s="22"/>
      <c r="Q63" s="22"/>
      <c r="R63" s="22"/>
    </row>
    <row r="64" customFormat="false" ht="15" hidden="false" customHeight="true" outlineLevel="0" collapsed="false">
      <c r="A64" s="22" t="n">
        <v>63</v>
      </c>
      <c r="B64" s="25" t="n">
        <f aca="false">'Start Here'!$B$3+A64-1</f>
        <v>46371</v>
      </c>
      <c r="C64" s="22"/>
      <c r="D64" s="22"/>
      <c r="E64" s="22"/>
      <c r="F64" s="22"/>
      <c r="G64" s="22"/>
      <c r="H64" s="22"/>
      <c r="I64" s="22"/>
      <c r="J64" s="22"/>
      <c r="K64" s="22"/>
      <c r="L64" s="22" t="n">
        <f aca="false">IF(B64&gt;='Learning Dashboard'!$B$3,B64-'Learning Dashboard'!$B$3+1,"")</f>
        <v>61</v>
      </c>
      <c r="M64" s="22"/>
      <c r="N64" s="22"/>
      <c r="O64" s="22"/>
      <c r="P64" s="22"/>
      <c r="Q64" s="22"/>
      <c r="R64" s="22"/>
    </row>
    <row r="65" customFormat="false" ht="15" hidden="false" customHeight="true" outlineLevel="0" collapsed="false">
      <c r="A65" s="22" t="n">
        <v>64</v>
      </c>
      <c r="B65" s="25" t="n">
        <f aca="false">'Start Here'!$B$3+A65-1</f>
        <v>46372</v>
      </c>
      <c r="C65" s="22"/>
      <c r="D65" s="22"/>
      <c r="E65" s="22"/>
      <c r="F65" s="22"/>
      <c r="G65" s="22"/>
      <c r="H65" s="22"/>
      <c r="I65" s="22"/>
      <c r="J65" s="22"/>
      <c r="K65" s="22"/>
      <c r="L65" s="22" t="n">
        <f aca="false">IF(B65&gt;='Learning Dashboard'!$B$3,B65-'Learning Dashboard'!$B$3+1,"")</f>
        <v>62</v>
      </c>
      <c r="M65" s="22"/>
      <c r="N65" s="22"/>
      <c r="O65" s="22"/>
      <c r="P65" s="22"/>
      <c r="Q65" s="22"/>
      <c r="R65" s="22"/>
    </row>
    <row r="66" customFormat="false" ht="15" hidden="false" customHeight="true" outlineLevel="0" collapsed="false">
      <c r="A66" s="22" t="n">
        <v>65</v>
      </c>
      <c r="B66" s="25" t="n">
        <f aca="false">'Start Here'!$B$3+A66-1</f>
        <v>46373</v>
      </c>
      <c r="C66" s="22"/>
      <c r="D66" s="22"/>
      <c r="E66" s="22"/>
      <c r="F66" s="22"/>
      <c r="G66" s="22"/>
      <c r="H66" s="22"/>
      <c r="I66" s="22"/>
      <c r="J66" s="22"/>
      <c r="K66" s="22"/>
      <c r="L66" s="22" t="n">
        <f aca="false">IF(B66&gt;='Learning Dashboard'!$B$3,B66-'Learning Dashboard'!$B$3+1,"")</f>
        <v>63</v>
      </c>
      <c r="M66" s="22"/>
      <c r="N66" s="22"/>
      <c r="O66" s="22"/>
      <c r="P66" s="22"/>
      <c r="Q66" s="22"/>
      <c r="R66" s="22"/>
    </row>
    <row r="67" customFormat="false" ht="15" hidden="false" customHeight="true" outlineLevel="0" collapsed="false">
      <c r="A67" s="22" t="n">
        <v>66</v>
      </c>
      <c r="B67" s="25" t="n">
        <f aca="false">'Start Here'!$B$3+A67-1</f>
        <v>46374</v>
      </c>
      <c r="C67" s="22"/>
      <c r="D67" s="22"/>
      <c r="E67" s="22"/>
      <c r="F67" s="22"/>
      <c r="G67" s="22"/>
      <c r="H67" s="22"/>
      <c r="I67" s="22"/>
      <c r="J67" s="22"/>
      <c r="K67" s="22"/>
      <c r="L67" s="22" t="n">
        <f aca="false">IF(B67&gt;='Learning Dashboard'!$B$3,B67-'Learning Dashboard'!$B$3+1,"")</f>
        <v>64</v>
      </c>
      <c r="M67" s="22"/>
      <c r="N67" s="22"/>
      <c r="O67" s="22"/>
      <c r="P67" s="22"/>
      <c r="Q67" s="22"/>
      <c r="R67" s="22"/>
    </row>
    <row r="68" customFormat="false" ht="15" hidden="false" customHeight="true" outlineLevel="0" collapsed="false">
      <c r="A68" s="22" t="n">
        <v>67</v>
      </c>
      <c r="B68" s="25" t="n">
        <f aca="false">'Start Here'!$B$3+A68-1</f>
        <v>46375</v>
      </c>
      <c r="C68" s="22"/>
      <c r="D68" s="22"/>
      <c r="E68" s="22"/>
      <c r="F68" s="22"/>
      <c r="G68" s="22"/>
      <c r="H68" s="22"/>
      <c r="I68" s="22"/>
      <c r="J68" s="22"/>
      <c r="K68" s="22"/>
      <c r="L68" s="22" t="n">
        <f aca="false">IF(B68&gt;='Learning Dashboard'!$B$3,B68-'Learning Dashboard'!$B$3+1,"")</f>
        <v>65</v>
      </c>
      <c r="M68" s="22"/>
      <c r="N68" s="22"/>
      <c r="O68" s="22"/>
      <c r="P68" s="22"/>
      <c r="Q68" s="22"/>
      <c r="R68" s="22"/>
    </row>
    <row r="69" customFormat="false" ht="15" hidden="false" customHeight="true" outlineLevel="0" collapsed="false">
      <c r="A69" s="22" t="n">
        <v>68</v>
      </c>
      <c r="B69" s="25" t="n">
        <f aca="false">'Start Here'!$B$3+A69-1</f>
        <v>46376</v>
      </c>
      <c r="C69" s="22"/>
      <c r="D69" s="22"/>
      <c r="E69" s="22"/>
      <c r="F69" s="22"/>
      <c r="G69" s="22"/>
      <c r="H69" s="22"/>
      <c r="I69" s="22"/>
      <c r="J69" s="22"/>
      <c r="K69" s="22"/>
      <c r="L69" s="22" t="n">
        <f aca="false">IF(B69&gt;='Learning Dashboard'!$B$3,B69-'Learning Dashboard'!$B$3+1,"")</f>
        <v>66</v>
      </c>
      <c r="M69" s="22"/>
      <c r="N69" s="22"/>
      <c r="O69" s="22"/>
      <c r="P69" s="22"/>
      <c r="Q69" s="22"/>
      <c r="R69" s="22"/>
    </row>
    <row r="70" customFormat="false" ht="15" hidden="false" customHeight="true" outlineLevel="0" collapsed="false">
      <c r="A70" s="22" t="n">
        <v>69</v>
      </c>
      <c r="B70" s="25" t="n">
        <f aca="false">'Start Here'!$B$3+A70-1</f>
        <v>46377</v>
      </c>
      <c r="C70" s="22"/>
      <c r="D70" s="22"/>
      <c r="E70" s="22"/>
      <c r="F70" s="22"/>
      <c r="G70" s="22"/>
      <c r="H70" s="22"/>
      <c r="I70" s="22"/>
      <c r="J70" s="22"/>
      <c r="K70" s="22"/>
      <c r="L70" s="22" t="n">
        <f aca="false">IF(B70&gt;='Learning Dashboard'!$B$3,B70-'Learning Dashboard'!$B$3+1,"")</f>
        <v>67</v>
      </c>
      <c r="M70" s="22"/>
      <c r="N70" s="22"/>
      <c r="O70" s="22"/>
      <c r="P70" s="22"/>
      <c r="Q70" s="22"/>
      <c r="R70" s="22"/>
    </row>
    <row r="71" customFormat="false" ht="15" hidden="false" customHeight="true" outlineLevel="0" collapsed="false">
      <c r="A71" s="22" t="n">
        <v>70</v>
      </c>
      <c r="B71" s="25" t="n">
        <f aca="false">'Start Here'!$B$3+A71-1</f>
        <v>46378</v>
      </c>
      <c r="C71" s="22"/>
      <c r="D71" s="22"/>
      <c r="E71" s="22"/>
      <c r="F71" s="22"/>
      <c r="G71" s="22"/>
      <c r="H71" s="22"/>
      <c r="I71" s="22"/>
      <c r="J71" s="22"/>
      <c r="K71" s="22"/>
      <c r="L71" s="22" t="n">
        <f aca="false">IF(B71&gt;='Learning Dashboard'!$B$3,B71-'Learning Dashboard'!$B$3+1,"")</f>
        <v>68</v>
      </c>
      <c r="M71" s="22"/>
      <c r="N71" s="22"/>
      <c r="O71" s="22"/>
      <c r="P71" s="22"/>
      <c r="Q71" s="22"/>
      <c r="R71" s="22"/>
    </row>
    <row r="72" customFormat="false" ht="15" hidden="false" customHeight="true" outlineLevel="0" collapsed="false">
      <c r="A72" s="22" t="n">
        <v>71</v>
      </c>
      <c r="B72" s="25" t="n">
        <f aca="false">'Start Here'!$B$3+A72-1</f>
        <v>46379</v>
      </c>
      <c r="C72" s="22"/>
      <c r="D72" s="22"/>
      <c r="E72" s="22"/>
      <c r="F72" s="22"/>
      <c r="G72" s="22"/>
      <c r="H72" s="22"/>
      <c r="I72" s="22"/>
      <c r="J72" s="22"/>
      <c r="K72" s="22"/>
      <c r="L72" s="22" t="n">
        <f aca="false">IF(B72&gt;='Learning Dashboard'!$B$3,B72-'Learning Dashboard'!$B$3+1,"")</f>
        <v>69</v>
      </c>
      <c r="M72" s="22"/>
      <c r="N72" s="22"/>
      <c r="O72" s="22"/>
      <c r="P72" s="22"/>
      <c r="Q72" s="22"/>
      <c r="R72" s="22"/>
    </row>
    <row r="73" customFormat="false" ht="15" hidden="false" customHeight="true" outlineLevel="0" collapsed="false">
      <c r="A73" s="22" t="n">
        <v>72</v>
      </c>
      <c r="B73" s="25" t="n">
        <f aca="false">'Start Here'!$B$3+A73-1</f>
        <v>46380</v>
      </c>
      <c r="C73" s="22"/>
      <c r="D73" s="22"/>
      <c r="E73" s="22"/>
      <c r="F73" s="22"/>
      <c r="G73" s="22"/>
      <c r="H73" s="22"/>
      <c r="I73" s="22"/>
      <c r="J73" s="22"/>
      <c r="K73" s="22"/>
      <c r="L73" s="22" t="n">
        <f aca="false">IF(B73&gt;='Learning Dashboard'!$B$3,B73-'Learning Dashboard'!$B$3+1,"")</f>
        <v>70</v>
      </c>
      <c r="M73" s="22"/>
      <c r="N73" s="22"/>
      <c r="O73" s="22"/>
      <c r="P73" s="22"/>
      <c r="Q73" s="22"/>
      <c r="R73" s="22"/>
    </row>
    <row r="74" customFormat="false" ht="15" hidden="false" customHeight="true" outlineLevel="0" collapsed="false">
      <c r="A74" s="22" t="n">
        <v>73</v>
      </c>
      <c r="B74" s="25" t="n">
        <f aca="false">'Start Here'!$B$3+A74-1</f>
        <v>46381</v>
      </c>
      <c r="C74" s="22"/>
      <c r="D74" s="22"/>
      <c r="E74" s="22"/>
      <c r="F74" s="22"/>
      <c r="G74" s="22"/>
      <c r="H74" s="22"/>
      <c r="I74" s="22"/>
      <c r="J74" s="22"/>
      <c r="K74" s="22"/>
      <c r="L74" s="22" t="n">
        <f aca="false">IF(B74&gt;='Learning Dashboard'!$B$3,B74-'Learning Dashboard'!$B$3+1,"")</f>
        <v>71</v>
      </c>
      <c r="M74" s="22"/>
      <c r="N74" s="22"/>
      <c r="O74" s="22"/>
      <c r="P74" s="22"/>
      <c r="Q74" s="22"/>
      <c r="R74" s="22"/>
    </row>
    <row r="75" customFormat="false" ht="15" hidden="false" customHeight="true" outlineLevel="0" collapsed="false">
      <c r="A75" s="22" t="n">
        <v>74</v>
      </c>
      <c r="B75" s="25" t="n">
        <f aca="false">'Start Here'!$B$3+A75-1</f>
        <v>46382</v>
      </c>
      <c r="C75" s="22"/>
      <c r="D75" s="22"/>
      <c r="E75" s="22"/>
      <c r="F75" s="22"/>
      <c r="G75" s="22"/>
      <c r="H75" s="22"/>
      <c r="I75" s="22"/>
      <c r="J75" s="22"/>
      <c r="K75" s="22"/>
      <c r="L75" s="22" t="n">
        <f aca="false">IF(B75&gt;='Learning Dashboard'!$B$3,B75-'Learning Dashboard'!$B$3+1,"")</f>
        <v>72</v>
      </c>
      <c r="M75" s="22"/>
      <c r="N75" s="22"/>
      <c r="O75" s="22"/>
      <c r="P75" s="22"/>
      <c r="Q75" s="22"/>
      <c r="R75" s="22"/>
    </row>
    <row r="76" customFormat="false" ht="15" hidden="false" customHeight="true" outlineLevel="0" collapsed="false">
      <c r="A76" s="22" t="n">
        <v>75</v>
      </c>
      <c r="B76" s="25" t="n">
        <f aca="false">'Start Here'!$B$3+A76-1</f>
        <v>46383</v>
      </c>
      <c r="C76" s="22"/>
      <c r="D76" s="22"/>
      <c r="E76" s="22"/>
      <c r="F76" s="22"/>
      <c r="G76" s="22"/>
      <c r="H76" s="22"/>
      <c r="I76" s="22"/>
      <c r="J76" s="22"/>
      <c r="K76" s="22"/>
      <c r="L76" s="22" t="n">
        <f aca="false">IF(B76&gt;='Learning Dashboard'!$B$3,B76-'Learning Dashboard'!$B$3+1,"")</f>
        <v>73</v>
      </c>
      <c r="M76" s="22"/>
      <c r="N76" s="22"/>
      <c r="O76" s="22"/>
      <c r="P76" s="22"/>
      <c r="Q76" s="22"/>
      <c r="R76" s="22"/>
    </row>
    <row r="77" customFormat="false" ht="15" hidden="false" customHeight="true" outlineLevel="0" collapsed="false">
      <c r="A77" s="22" t="n">
        <v>76</v>
      </c>
      <c r="B77" s="25" t="n">
        <f aca="false">'Start Here'!$B$3+A77-1</f>
        <v>46384</v>
      </c>
      <c r="C77" s="22"/>
      <c r="D77" s="22"/>
      <c r="E77" s="22"/>
      <c r="F77" s="22"/>
      <c r="G77" s="22"/>
      <c r="H77" s="22"/>
      <c r="I77" s="22"/>
      <c r="J77" s="22"/>
      <c r="K77" s="22"/>
      <c r="L77" s="22" t="n">
        <f aca="false">IF(B77&gt;='Learning Dashboard'!$B$3,B77-'Learning Dashboard'!$B$3+1,"")</f>
        <v>74</v>
      </c>
      <c r="M77" s="22"/>
      <c r="N77" s="22"/>
      <c r="O77" s="22"/>
      <c r="P77" s="22"/>
      <c r="Q77" s="22"/>
      <c r="R77" s="22"/>
    </row>
    <row r="78" customFormat="false" ht="15" hidden="false" customHeight="true" outlineLevel="0" collapsed="false">
      <c r="A78" s="22" t="n">
        <v>77</v>
      </c>
      <c r="B78" s="25" t="n">
        <f aca="false">'Start Here'!$B$3+A78-1</f>
        <v>46385</v>
      </c>
      <c r="C78" s="22"/>
      <c r="D78" s="22"/>
      <c r="E78" s="22"/>
      <c r="F78" s="22"/>
      <c r="G78" s="22"/>
      <c r="H78" s="22"/>
      <c r="I78" s="22"/>
      <c r="J78" s="22"/>
      <c r="K78" s="22"/>
      <c r="L78" s="22" t="n">
        <f aca="false">IF(B78&gt;='Learning Dashboard'!$B$3,B78-'Learning Dashboard'!$B$3+1,"")</f>
        <v>75</v>
      </c>
      <c r="M78" s="22"/>
      <c r="N78" s="22"/>
      <c r="O78" s="22"/>
      <c r="P78" s="22"/>
      <c r="Q78" s="22"/>
      <c r="R78" s="22"/>
    </row>
    <row r="79" customFormat="false" ht="15" hidden="false" customHeight="true" outlineLevel="0" collapsed="false">
      <c r="A79" s="22" t="n">
        <v>78</v>
      </c>
      <c r="B79" s="25" t="n">
        <f aca="false">'Start Here'!$B$3+A79-1</f>
        <v>46386</v>
      </c>
      <c r="C79" s="22"/>
      <c r="D79" s="22"/>
      <c r="E79" s="22"/>
      <c r="F79" s="22"/>
      <c r="G79" s="22"/>
      <c r="H79" s="22"/>
      <c r="I79" s="22"/>
      <c r="J79" s="22"/>
      <c r="K79" s="22"/>
      <c r="L79" s="22" t="n">
        <f aca="false">IF(B79&gt;='Learning Dashboard'!$B$3,B79-'Learning Dashboard'!$B$3+1,"")</f>
        <v>76</v>
      </c>
      <c r="M79" s="22"/>
      <c r="N79" s="22"/>
      <c r="O79" s="22"/>
      <c r="P79" s="22"/>
      <c r="Q79" s="22"/>
      <c r="R79" s="22"/>
    </row>
    <row r="80" customFormat="false" ht="15" hidden="false" customHeight="true" outlineLevel="0" collapsed="false">
      <c r="A80" s="22" t="n">
        <v>79</v>
      </c>
      <c r="B80" s="25" t="n">
        <f aca="false">'Start Here'!$B$3+A80-1</f>
        <v>46387</v>
      </c>
      <c r="C80" s="22"/>
      <c r="D80" s="22"/>
      <c r="E80" s="22"/>
      <c r="F80" s="22"/>
      <c r="G80" s="22"/>
      <c r="H80" s="22"/>
      <c r="I80" s="22"/>
      <c r="J80" s="22"/>
      <c r="K80" s="22"/>
      <c r="L80" s="22" t="n">
        <f aca="false">IF(B80&gt;='Learning Dashboard'!$B$3,B80-'Learning Dashboard'!$B$3+1,"")</f>
        <v>77</v>
      </c>
      <c r="M80" s="22"/>
      <c r="N80" s="22"/>
      <c r="O80" s="22"/>
      <c r="P80" s="22"/>
      <c r="Q80" s="22"/>
      <c r="R80" s="22"/>
    </row>
    <row r="81" customFormat="false" ht="15" hidden="false" customHeight="true" outlineLevel="0" collapsed="false">
      <c r="A81" s="22" t="n">
        <v>80</v>
      </c>
      <c r="B81" s="25" t="n">
        <f aca="false">'Start Here'!$B$3+A81-1</f>
        <v>46388</v>
      </c>
      <c r="C81" s="22"/>
      <c r="D81" s="22"/>
      <c r="E81" s="22"/>
      <c r="F81" s="22"/>
      <c r="G81" s="22"/>
      <c r="H81" s="22"/>
      <c r="I81" s="22"/>
      <c r="J81" s="22"/>
      <c r="K81" s="22"/>
      <c r="L81" s="22" t="n">
        <f aca="false">IF(B81&gt;='Learning Dashboard'!$B$3,B81-'Learning Dashboard'!$B$3+1,"")</f>
        <v>78</v>
      </c>
      <c r="M81" s="22"/>
      <c r="N81" s="22"/>
      <c r="O81" s="22"/>
      <c r="P81" s="22"/>
      <c r="Q81" s="22"/>
      <c r="R81" s="22"/>
    </row>
    <row r="82" customFormat="false" ht="15" hidden="false" customHeight="true" outlineLevel="0" collapsed="false">
      <c r="A82" s="22" t="n">
        <v>81</v>
      </c>
      <c r="B82" s="25" t="n">
        <f aca="false">'Start Here'!$B$3+A82-1</f>
        <v>46389</v>
      </c>
      <c r="C82" s="22"/>
      <c r="D82" s="22"/>
      <c r="E82" s="22"/>
      <c r="F82" s="22"/>
      <c r="G82" s="22"/>
      <c r="H82" s="22"/>
      <c r="I82" s="22"/>
      <c r="J82" s="22"/>
      <c r="K82" s="22"/>
      <c r="L82" s="22" t="n">
        <f aca="false">IF(B82&gt;='Learning Dashboard'!$B$3,B82-'Learning Dashboard'!$B$3+1,"")</f>
        <v>79</v>
      </c>
      <c r="M82" s="22"/>
      <c r="N82" s="22"/>
      <c r="O82" s="22"/>
      <c r="P82" s="22"/>
      <c r="Q82" s="22"/>
      <c r="R82" s="22"/>
    </row>
    <row r="83" customFormat="false" ht="15" hidden="false" customHeight="true" outlineLevel="0" collapsed="false">
      <c r="A83" s="22" t="n">
        <v>82</v>
      </c>
      <c r="B83" s="25" t="n">
        <f aca="false">'Start Here'!$B$3+A83-1</f>
        <v>46390</v>
      </c>
      <c r="C83" s="22"/>
      <c r="D83" s="22"/>
      <c r="E83" s="22"/>
      <c r="F83" s="22"/>
      <c r="G83" s="22"/>
      <c r="H83" s="22"/>
      <c r="I83" s="22"/>
      <c r="J83" s="22"/>
      <c r="K83" s="22"/>
      <c r="L83" s="22" t="n">
        <f aca="false">IF(B83&gt;='Learning Dashboard'!$B$3,B83-'Learning Dashboard'!$B$3+1,"")</f>
        <v>80</v>
      </c>
      <c r="M83" s="22"/>
      <c r="N83" s="22"/>
      <c r="O83" s="22"/>
      <c r="P83" s="22"/>
      <c r="Q83" s="22"/>
      <c r="R83" s="22"/>
    </row>
    <row r="84" customFormat="false" ht="15" hidden="false" customHeight="true" outlineLevel="0" collapsed="false">
      <c r="A84" s="22" t="n">
        <v>83</v>
      </c>
      <c r="B84" s="25" t="n">
        <f aca="false">'Start Here'!$B$3+A84-1</f>
        <v>46391</v>
      </c>
      <c r="C84" s="22"/>
      <c r="D84" s="22"/>
      <c r="E84" s="22"/>
      <c r="F84" s="22"/>
      <c r="G84" s="22"/>
      <c r="H84" s="22"/>
      <c r="I84" s="22"/>
      <c r="J84" s="22"/>
      <c r="K84" s="22"/>
      <c r="L84" s="22" t="n">
        <f aca="false">IF(B84&gt;='Learning Dashboard'!$B$3,B84-'Learning Dashboard'!$B$3+1,"")</f>
        <v>81</v>
      </c>
      <c r="M84" s="22"/>
      <c r="N84" s="22"/>
      <c r="O84" s="22"/>
      <c r="P84" s="22"/>
      <c r="Q84" s="22"/>
      <c r="R84" s="22"/>
    </row>
    <row r="85" customFormat="false" ht="15" hidden="false" customHeight="true" outlineLevel="0" collapsed="false">
      <c r="A85" s="22" t="n">
        <v>84</v>
      </c>
      <c r="B85" s="25" t="n">
        <f aca="false">'Start Here'!$B$3+A85-1</f>
        <v>46392</v>
      </c>
      <c r="C85" s="22"/>
      <c r="D85" s="22"/>
      <c r="E85" s="22"/>
      <c r="F85" s="22"/>
      <c r="G85" s="22"/>
      <c r="H85" s="22"/>
      <c r="I85" s="22"/>
      <c r="J85" s="22"/>
      <c r="K85" s="22"/>
      <c r="L85" s="22" t="n">
        <f aca="false">IF(B85&gt;='Learning Dashboard'!$B$3,B85-'Learning Dashboard'!$B$3+1,"")</f>
        <v>82</v>
      </c>
      <c r="M85" s="22"/>
      <c r="N85" s="22"/>
      <c r="O85" s="22"/>
      <c r="P85" s="22"/>
      <c r="Q85" s="22"/>
      <c r="R85" s="22"/>
    </row>
    <row r="86" customFormat="false" ht="15" hidden="false" customHeight="true" outlineLevel="0" collapsed="false">
      <c r="A86" s="22" t="n">
        <v>85</v>
      </c>
      <c r="B86" s="25" t="n">
        <f aca="false">'Start Here'!$B$3+A86-1</f>
        <v>46393</v>
      </c>
      <c r="C86" s="22"/>
      <c r="D86" s="22"/>
      <c r="E86" s="22"/>
      <c r="F86" s="22"/>
      <c r="G86" s="22"/>
      <c r="H86" s="22"/>
      <c r="I86" s="22"/>
      <c r="J86" s="22"/>
      <c r="K86" s="22"/>
      <c r="L86" s="22" t="n">
        <f aca="false">IF(B86&gt;='Learning Dashboard'!$B$3,B86-'Learning Dashboard'!$B$3+1,"")</f>
        <v>83</v>
      </c>
      <c r="M86" s="22"/>
      <c r="N86" s="22"/>
      <c r="O86" s="22"/>
      <c r="P86" s="22"/>
      <c r="Q86" s="22"/>
      <c r="R86" s="22"/>
    </row>
    <row r="87" customFormat="false" ht="15" hidden="false" customHeight="true" outlineLevel="0" collapsed="false">
      <c r="A87" s="22" t="n">
        <v>86</v>
      </c>
      <c r="B87" s="25" t="n">
        <f aca="false">'Start Here'!$B$3+A87-1</f>
        <v>46394</v>
      </c>
      <c r="C87" s="22"/>
      <c r="D87" s="22"/>
      <c r="E87" s="22"/>
      <c r="F87" s="22"/>
      <c r="G87" s="22"/>
      <c r="H87" s="22"/>
      <c r="I87" s="22"/>
      <c r="J87" s="22"/>
      <c r="K87" s="22"/>
      <c r="L87" s="22" t="n">
        <f aca="false">IF(B87&gt;='Learning Dashboard'!$B$3,B87-'Learning Dashboard'!$B$3+1,"")</f>
        <v>84</v>
      </c>
      <c r="M87" s="22"/>
      <c r="N87" s="22"/>
      <c r="O87" s="22"/>
      <c r="P87" s="22"/>
      <c r="Q87" s="22"/>
      <c r="R87" s="22"/>
    </row>
    <row r="88" customFormat="false" ht="15" hidden="false" customHeight="true" outlineLevel="0" collapsed="false">
      <c r="A88" s="22" t="n">
        <v>87</v>
      </c>
      <c r="B88" s="25" t="n">
        <f aca="false">'Start Here'!$B$3+A88-1</f>
        <v>46395</v>
      </c>
      <c r="C88" s="22"/>
      <c r="D88" s="22"/>
      <c r="E88" s="22"/>
      <c r="F88" s="22"/>
      <c r="G88" s="22"/>
      <c r="H88" s="22"/>
      <c r="I88" s="22"/>
      <c r="J88" s="22"/>
      <c r="K88" s="22"/>
      <c r="L88" s="22" t="n">
        <f aca="false">IF(B88&gt;='Learning Dashboard'!$B$3,B88-'Learning Dashboard'!$B$3+1,"")</f>
        <v>85</v>
      </c>
      <c r="M88" s="22"/>
      <c r="N88" s="22"/>
      <c r="O88" s="22"/>
      <c r="P88" s="22"/>
      <c r="Q88" s="22"/>
      <c r="R88" s="22"/>
    </row>
    <row r="89" customFormat="false" ht="15" hidden="false" customHeight="true" outlineLevel="0" collapsed="false">
      <c r="A89" s="22" t="n">
        <v>88</v>
      </c>
      <c r="B89" s="25" t="n">
        <f aca="false">'Start Here'!$B$3+A89-1</f>
        <v>46396</v>
      </c>
      <c r="C89" s="22"/>
      <c r="D89" s="22"/>
      <c r="E89" s="22"/>
      <c r="F89" s="22"/>
      <c r="G89" s="22"/>
      <c r="H89" s="22"/>
      <c r="I89" s="22"/>
      <c r="J89" s="22"/>
      <c r="K89" s="22"/>
      <c r="L89" s="22" t="n">
        <f aca="false">IF(B89&gt;='Learning Dashboard'!$B$3,B89-'Learning Dashboard'!$B$3+1,"")</f>
        <v>86</v>
      </c>
      <c r="M89" s="22"/>
      <c r="N89" s="22"/>
      <c r="O89" s="22"/>
      <c r="P89" s="22"/>
      <c r="Q89" s="22"/>
      <c r="R89" s="22"/>
    </row>
    <row r="90" customFormat="false" ht="15" hidden="false" customHeight="true" outlineLevel="0" collapsed="false">
      <c r="A90" s="22" t="n">
        <v>89</v>
      </c>
      <c r="B90" s="25" t="n">
        <f aca="false">'Start Here'!$B$3+A90-1</f>
        <v>46397</v>
      </c>
      <c r="C90" s="22"/>
      <c r="D90" s="22"/>
      <c r="E90" s="22"/>
      <c r="F90" s="22"/>
      <c r="G90" s="22"/>
      <c r="H90" s="22"/>
      <c r="I90" s="22"/>
      <c r="J90" s="22"/>
      <c r="K90" s="22"/>
      <c r="L90" s="22" t="n">
        <f aca="false">IF(B90&gt;='Learning Dashboard'!$B$3,B90-'Learning Dashboard'!$B$3+1,"")</f>
        <v>87</v>
      </c>
      <c r="M90" s="22"/>
      <c r="N90" s="22"/>
      <c r="O90" s="22"/>
      <c r="P90" s="22"/>
      <c r="Q90" s="22"/>
      <c r="R90" s="22"/>
    </row>
    <row r="91" customFormat="false" ht="15" hidden="false" customHeight="true" outlineLevel="0" collapsed="false">
      <c r="A91" s="22" t="n">
        <v>90</v>
      </c>
      <c r="B91" s="25" t="n">
        <f aca="false">'Start Here'!$B$3+A91-1</f>
        <v>46398</v>
      </c>
      <c r="C91" s="22"/>
      <c r="D91" s="22"/>
      <c r="E91" s="22"/>
      <c r="F91" s="22"/>
      <c r="G91" s="22"/>
      <c r="H91" s="22"/>
      <c r="I91" s="22"/>
      <c r="J91" s="22"/>
      <c r="K91" s="22"/>
      <c r="L91" s="22" t="n">
        <f aca="false">IF(B91&gt;='Learning Dashboard'!$B$3,B91-'Learning Dashboard'!$B$3+1,"")</f>
        <v>88</v>
      </c>
      <c r="M91" s="22"/>
      <c r="N91" s="22"/>
      <c r="O91" s="22"/>
      <c r="P91" s="22"/>
      <c r="Q91" s="22"/>
      <c r="R91" s="22"/>
    </row>
    <row r="93" customFormat="false" ht="15" hidden="false" customHeight="true" outlineLevel="0" collapsed="false">
      <c r="C93" s="3" t="s">
        <v>562</v>
      </c>
      <c r="D93" s="9" t="n">
        <v>5</v>
      </c>
      <c r="E93" s="9" t="n">
        <v>2</v>
      </c>
      <c r="F93" s="9" t="n">
        <v>3</v>
      </c>
      <c r="G93" s="9" t="n">
        <v>60</v>
      </c>
      <c r="H93" s="9" t="n">
        <v>60</v>
      </c>
      <c r="I93" s="9" t="n">
        <v>30</v>
      </c>
    </row>
    <row r="94" customFormat="false" ht="15" hidden="false" customHeight="true" outlineLevel="0" collapsed="false">
      <c r="C94" s="5" t="s">
        <v>563</v>
      </c>
    </row>
    <row r="95" customFormat="false" ht="15" hidden="false" customHeight="false" outlineLevel="0" collapsed="false">
      <c r="A95" s="16" t="s">
        <v>564</v>
      </c>
    </row>
  </sheetData>
  <conditionalFormatting sqref="D2:D91">
    <cfRule type="expression" priority="2" aboveAverage="0" equalAverage="0" bottom="0" percent="0" rank="0" text="" dxfId="7">
      <formula>AND(D2&lt;&gt;"",D2&gt;=$D$93)</formula>
    </cfRule>
  </conditionalFormatting>
  <conditionalFormatting sqref="E2:E91">
    <cfRule type="expression" priority="3" aboveAverage="0" equalAverage="0" bottom="0" percent="0" rank="0" text="" dxfId="7">
      <formula>AND(E2&lt;&gt;"",E2&gt;=$E$93)</formula>
    </cfRule>
  </conditionalFormatting>
  <conditionalFormatting sqref="I2:I91">
    <cfRule type="expression" priority="4" aboveAverage="0" equalAverage="0" bottom="0" percent="0" rank="0" text="" dxfId="8">
      <formula>AND(I2&lt;&gt;"",I2&gt;$I$93)</formula>
    </cfRule>
  </conditionalFormatting>
  <dataValidations count="3">
    <dataValidation allowBlank="true" errorStyle="stop" operator="between" showDropDown="false" showErrorMessage="false" showInputMessage="false" sqref="C2:C91" type="list">
      <formula1>"Normal,Low-energy"</formula1>
      <formula2>0</formula2>
    </dataValidation>
    <dataValidation allowBlank="true" errorStyle="stop" operator="between" showDropDown="false" showErrorMessage="false" showInputMessage="false" sqref="J2:J91" type="list">
      <formula1>"Good,OK,Low"</formula1>
      <formula2>0</formula2>
    </dataValidation>
    <dataValidation allowBlank="true" errorStyle="stop" operator="between" showDropDown="false" showErrorMessage="false" showInputMessage="false" sqref="M2:R91" type="list">
      <formula1>"Yes,No,Partly"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4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46"/>
    <col collapsed="false" customWidth="true" hidden="false" outlineLevel="0" max="9" min="9" style="0" width="28"/>
  </cols>
  <sheetData>
    <row r="1" customFormat="false" ht="33.75" hidden="false" customHeight="true" outlineLevel="0" collapsed="false">
      <c r="A1" s="21" t="s">
        <v>565</v>
      </c>
      <c r="B1" s="21" t="s">
        <v>566</v>
      </c>
      <c r="C1" s="21" t="s">
        <v>567</v>
      </c>
      <c r="D1" s="21" t="s">
        <v>568</v>
      </c>
      <c r="E1" s="21" t="s">
        <v>569</v>
      </c>
      <c r="F1" s="21" t="s">
        <v>120</v>
      </c>
      <c r="G1" s="21" t="s">
        <v>570</v>
      </c>
      <c r="H1" s="21" t="s">
        <v>571</v>
      </c>
      <c r="I1" s="21" t="s">
        <v>572</v>
      </c>
    </row>
    <row r="2" customFormat="false" ht="15" hidden="false" customHeight="false" outlineLevel="0" collapsed="false">
      <c r="A2" s="22" t="n">
        <v>1</v>
      </c>
      <c r="B2" s="22" t="s">
        <v>99</v>
      </c>
      <c r="C2" s="22" t="s">
        <v>573</v>
      </c>
      <c r="D2" s="22" t="s">
        <v>574</v>
      </c>
      <c r="E2" s="22" t="s">
        <v>575</v>
      </c>
      <c r="F2" s="26" t="s">
        <v>136</v>
      </c>
      <c r="G2" s="26"/>
      <c r="H2" s="26"/>
      <c r="I2" s="26"/>
    </row>
    <row r="3" customFormat="false" ht="15" hidden="false" customHeight="false" outlineLevel="0" collapsed="false">
      <c r="A3" s="22" t="n">
        <v>2</v>
      </c>
      <c r="B3" s="22" t="s">
        <v>99</v>
      </c>
      <c r="C3" s="22" t="s">
        <v>576</v>
      </c>
      <c r="D3" s="22" t="s">
        <v>574</v>
      </c>
      <c r="E3" s="22" t="s">
        <v>575</v>
      </c>
      <c r="F3" s="26" t="s">
        <v>136</v>
      </c>
      <c r="G3" s="26"/>
      <c r="H3" s="26"/>
      <c r="I3" s="26"/>
    </row>
    <row r="4" customFormat="false" ht="15" hidden="false" customHeight="false" outlineLevel="0" collapsed="false">
      <c r="A4" s="22" t="n">
        <v>3</v>
      </c>
      <c r="B4" s="22" t="s">
        <v>99</v>
      </c>
      <c r="C4" s="22" t="s">
        <v>577</v>
      </c>
      <c r="D4" s="22" t="s">
        <v>574</v>
      </c>
      <c r="E4" s="22" t="s">
        <v>578</v>
      </c>
      <c r="F4" s="26" t="s">
        <v>136</v>
      </c>
      <c r="G4" s="26"/>
      <c r="H4" s="26"/>
      <c r="I4" s="26"/>
    </row>
    <row r="5" customFormat="false" ht="15" hidden="false" customHeight="false" outlineLevel="0" collapsed="false">
      <c r="A5" s="22" t="n">
        <v>4</v>
      </c>
      <c r="B5" s="22" t="s">
        <v>99</v>
      </c>
      <c r="C5" s="22" t="s">
        <v>579</v>
      </c>
      <c r="D5" s="22" t="s">
        <v>574</v>
      </c>
      <c r="E5" s="22" t="s">
        <v>578</v>
      </c>
      <c r="F5" s="26" t="s">
        <v>136</v>
      </c>
      <c r="G5" s="26"/>
      <c r="H5" s="26"/>
      <c r="I5" s="26"/>
    </row>
    <row r="6" customFormat="false" ht="15" hidden="false" customHeight="false" outlineLevel="0" collapsed="false">
      <c r="A6" s="22" t="n">
        <v>5</v>
      </c>
      <c r="B6" s="22" t="s">
        <v>99</v>
      </c>
      <c r="C6" s="22" t="s">
        <v>580</v>
      </c>
      <c r="D6" s="22" t="s">
        <v>574</v>
      </c>
      <c r="E6" s="22" t="s">
        <v>581</v>
      </c>
      <c r="F6" s="26" t="s">
        <v>136</v>
      </c>
      <c r="G6" s="26"/>
      <c r="H6" s="26"/>
      <c r="I6" s="26"/>
    </row>
    <row r="7" customFormat="false" ht="15" hidden="false" customHeight="false" outlineLevel="0" collapsed="false">
      <c r="A7" s="22" t="n">
        <v>6</v>
      </c>
      <c r="B7" s="22" t="s">
        <v>99</v>
      </c>
      <c r="C7" s="22" t="s">
        <v>582</v>
      </c>
      <c r="D7" s="22" t="s">
        <v>583</v>
      </c>
      <c r="E7" s="22" t="s">
        <v>581</v>
      </c>
      <c r="F7" s="26" t="s">
        <v>136</v>
      </c>
      <c r="G7" s="26"/>
      <c r="H7" s="26"/>
      <c r="I7" s="26"/>
    </row>
    <row r="8" customFormat="false" ht="15" hidden="false" customHeight="false" outlineLevel="0" collapsed="false">
      <c r="A8" s="22" t="n">
        <v>7</v>
      </c>
      <c r="B8" s="22" t="s">
        <v>99</v>
      </c>
      <c r="C8" s="22" t="s">
        <v>584</v>
      </c>
      <c r="D8" s="22" t="s">
        <v>574</v>
      </c>
      <c r="E8" s="22" t="s">
        <v>585</v>
      </c>
      <c r="F8" s="26" t="s">
        <v>136</v>
      </c>
      <c r="G8" s="26"/>
      <c r="H8" s="26"/>
      <c r="I8" s="26"/>
    </row>
    <row r="9" customFormat="false" ht="15" hidden="false" customHeight="false" outlineLevel="0" collapsed="false">
      <c r="A9" s="22" t="n">
        <v>8</v>
      </c>
      <c r="B9" s="22" t="s">
        <v>99</v>
      </c>
      <c r="C9" s="22" t="s">
        <v>586</v>
      </c>
      <c r="D9" s="22" t="s">
        <v>574</v>
      </c>
      <c r="E9" s="22" t="s">
        <v>585</v>
      </c>
      <c r="F9" s="26" t="s">
        <v>136</v>
      </c>
      <c r="G9" s="26"/>
      <c r="H9" s="26"/>
      <c r="I9" s="26"/>
    </row>
    <row r="10" customFormat="false" ht="15" hidden="false" customHeight="false" outlineLevel="0" collapsed="false">
      <c r="A10" s="22" t="n">
        <v>9</v>
      </c>
      <c r="B10" s="22" t="s">
        <v>99</v>
      </c>
      <c r="C10" s="22" t="s">
        <v>587</v>
      </c>
      <c r="D10" s="22" t="s">
        <v>574</v>
      </c>
      <c r="E10" s="22" t="s">
        <v>588</v>
      </c>
      <c r="F10" s="26" t="s">
        <v>136</v>
      </c>
      <c r="G10" s="26"/>
      <c r="H10" s="26"/>
      <c r="I10" s="26"/>
    </row>
    <row r="11" customFormat="false" ht="15" hidden="false" customHeight="false" outlineLevel="0" collapsed="false">
      <c r="A11" s="22" t="n">
        <v>10</v>
      </c>
      <c r="B11" s="22" t="s">
        <v>99</v>
      </c>
      <c r="C11" s="22" t="s">
        <v>589</v>
      </c>
      <c r="D11" s="22" t="s">
        <v>574</v>
      </c>
      <c r="E11" s="22" t="s">
        <v>588</v>
      </c>
      <c r="F11" s="26" t="s">
        <v>136</v>
      </c>
      <c r="G11" s="26"/>
      <c r="H11" s="26"/>
      <c r="I11" s="26"/>
    </row>
    <row r="12" customFormat="false" ht="15" hidden="false" customHeight="false" outlineLevel="0" collapsed="false">
      <c r="A12" s="22" t="n">
        <v>11</v>
      </c>
      <c r="B12" s="22" t="s">
        <v>99</v>
      </c>
      <c r="C12" s="22" t="s">
        <v>590</v>
      </c>
      <c r="D12" s="22" t="s">
        <v>574</v>
      </c>
      <c r="E12" s="22" t="s">
        <v>591</v>
      </c>
      <c r="F12" s="26" t="s">
        <v>136</v>
      </c>
      <c r="G12" s="26"/>
      <c r="H12" s="26"/>
      <c r="I12" s="26"/>
    </row>
    <row r="13" customFormat="false" ht="15" hidden="false" customHeight="false" outlineLevel="0" collapsed="false">
      <c r="A13" s="22" t="n">
        <v>12</v>
      </c>
      <c r="B13" s="22" t="s">
        <v>99</v>
      </c>
      <c r="C13" s="22" t="s">
        <v>592</v>
      </c>
      <c r="D13" s="22" t="s">
        <v>583</v>
      </c>
      <c r="E13" s="22" t="s">
        <v>591</v>
      </c>
      <c r="F13" s="26" t="s">
        <v>136</v>
      </c>
      <c r="G13" s="26"/>
      <c r="H13" s="26"/>
      <c r="I13" s="26"/>
    </row>
    <row r="14" customFormat="false" ht="15" hidden="false" customHeight="false" outlineLevel="0" collapsed="false">
      <c r="A14" s="22" t="n">
        <v>13</v>
      </c>
      <c r="B14" s="22" t="s">
        <v>99</v>
      </c>
      <c r="C14" s="22" t="s">
        <v>593</v>
      </c>
      <c r="D14" s="22" t="s">
        <v>583</v>
      </c>
      <c r="E14" s="22" t="s">
        <v>575</v>
      </c>
      <c r="F14" s="26" t="s">
        <v>136</v>
      </c>
      <c r="G14" s="26"/>
      <c r="H14" s="26"/>
      <c r="I14" s="26"/>
    </row>
    <row r="15" customFormat="false" ht="15" hidden="false" customHeight="false" outlineLevel="0" collapsed="false">
      <c r="A15" s="22" t="n">
        <v>14</v>
      </c>
      <c r="B15" s="22" t="s">
        <v>99</v>
      </c>
      <c r="C15" s="22" t="s">
        <v>594</v>
      </c>
      <c r="D15" s="22" t="s">
        <v>583</v>
      </c>
      <c r="E15" s="22" t="s">
        <v>595</v>
      </c>
      <c r="F15" s="26" t="s">
        <v>136</v>
      </c>
      <c r="G15" s="26"/>
      <c r="H15" s="26"/>
      <c r="I15" s="26"/>
    </row>
    <row r="16" customFormat="false" ht="15" hidden="false" customHeight="false" outlineLevel="0" collapsed="false">
      <c r="A16" s="22" t="n">
        <v>15</v>
      </c>
      <c r="B16" s="22" t="s">
        <v>99</v>
      </c>
      <c r="C16" s="22" t="s">
        <v>596</v>
      </c>
      <c r="D16" s="22" t="s">
        <v>583</v>
      </c>
      <c r="E16" s="22" t="s">
        <v>595</v>
      </c>
      <c r="F16" s="26" t="s">
        <v>136</v>
      </c>
      <c r="G16" s="26"/>
      <c r="H16" s="26"/>
      <c r="I16" s="26"/>
    </row>
    <row r="17" customFormat="false" ht="15" hidden="false" customHeight="false" outlineLevel="0" collapsed="false">
      <c r="A17" s="22" t="n">
        <v>16</v>
      </c>
      <c r="B17" s="22" t="s">
        <v>100</v>
      </c>
      <c r="C17" s="22" t="s">
        <v>597</v>
      </c>
      <c r="D17" s="22" t="s">
        <v>574</v>
      </c>
      <c r="E17" s="22" t="s">
        <v>595</v>
      </c>
      <c r="F17" s="26" t="s">
        <v>136</v>
      </c>
      <c r="G17" s="26"/>
      <c r="H17" s="26"/>
      <c r="I17" s="26"/>
    </row>
    <row r="18" customFormat="false" ht="15" hidden="false" customHeight="false" outlineLevel="0" collapsed="false">
      <c r="A18" s="22" t="n">
        <v>17</v>
      </c>
      <c r="B18" s="22" t="s">
        <v>100</v>
      </c>
      <c r="C18" s="22" t="s">
        <v>598</v>
      </c>
      <c r="D18" s="22" t="s">
        <v>574</v>
      </c>
      <c r="E18" s="22" t="s">
        <v>599</v>
      </c>
      <c r="F18" s="26" t="s">
        <v>136</v>
      </c>
      <c r="G18" s="26"/>
      <c r="H18" s="26"/>
      <c r="I18" s="26"/>
    </row>
    <row r="19" customFormat="false" ht="15" hidden="false" customHeight="false" outlineLevel="0" collapsed="false">
      <c r="A19" s="22" t="n">
        <v>18</v>
      </c>
      <c r="B19" s="22" t="s">
        <v>100</v>
      </c>
      <c r="C19" s="22" t="s">
        <v>600</v>
      </c>
      <c r="D19" s="22" t="s">
        <v>574</v>
      </c>
      <c r="E19" s="22" t="s">
        <v>599</v>
      </c>
      <c r="F19" s="26" t="s">
        <v>136</v>
      </c>
      <c r="G19" s="26"/>
      <c r="H19" s="26"/>
      <c r="I19" s="26"/>
    </row>
    <row r="20" customFormat="false" ht="15" hidden="false" customHeight="false" outlineLevel="0" collapsed="false">
      <c r="A20" s="22" t="n">
        <v>19</v>
      </c>
      <c r="B20" s="22" t="s">
        <v>100</v>
      </c>
      <c r="C20" s="22" t="s">
        <v>601</v>
      </c>
      <c r="D20" s="22" t="s">
        <v>574</v>
      </c>
      <c r="E20" s="22" t="s">
        <v>602</v>
      </c>
      <c r="F20" s="26" t="s">
        <v>136</v>
      </c>
      <c r="G20" s="26"/>
      <c r="H20" s="26"/>
      <c r="I20" s="26"/>
    </row>
    <row r="21" customFormat="false" ht="15" hidden="false" customHeight="false" outlineLevel="0" collapsed="false">
      <c r="A21" s="22" t="n">
        <v>20</v>
      </c>
      <c r="B21" s="22" t="s">
        <v>100</v>
      </c>
      <c r="C21" s="22" t="s">
        <v>603</v>
      </c>
      <c r="D21" s="22" t="s">
        <v>574</v>
      </c>
      <c r="E21" s="22" t="s">
        <v>602</v>
      </c>
      <c r="F21" s="26" t="s">
        <v>136</v>
      </c>
      <c r="G21" s="26"/>
      <c r="H21" s="26"/>
      <c r="I21" s="26"/>
    </row>
    <row r="22" customFormat="false" ht="15" hidden="false" customHeight="false" outlineLevel="0" collapsed="false">
      <c r="A22" s="22" t="n">
        <v>21</v>
      </c>
      <c r="B22" s="22" t="s">
        <v>100</v>
      </c>
      <c r="C22" s="22" t="s">
        <v>604</v>
      </c>
      <c r="D22" s="22" t="s">
        <v>583</v>
      </c>
      <c r="E22" s="22" t="s">
        <v>602</v>
      </c>
      <c r="F22" s="26" t="s">
        <v>136</v>
      </c>
      <c r="G22" s="26"/>
      <c r="H22" s="26"/>
      <c r="I22" s="26"/>
    </row>
    <row r="23" customFormat="false" ht="15" hidden="false" customHeight="false" outlineLevel="0" collapsed="false">
      <c r="A23" s="22" t="n">
        <v>22</v>
      </c>
      <c r="B23" s="22" t="s">
        <v>100</v>
      </c>
      <c r="C23" s="22" t="s">
        <v>605</v>
      </c>
      <c r="D23" s="22" t="s">
        <v>574</v>
      </c>
      <c r="E23" s="22" t="s">
        <v>606</v>
      </c>
      <c r="F23" s="26" t="s">
        <v>136</v>
      </c>
      <c r="G23" s="26"/>
      <c r="H23" s="26"/>
      <c r="I23" s="26"/>
    </row>
    <row r="24" customFormat="false" ht="15" hidden="false" customHeight="false" outlineLevel="0" collapsed="false">
      <c r="A24" s="22" t="n">
        <v>23</v>
      </c>
      <c r="B24" s="22" t="s">
        <v>100</v>
      </c>
      <c r="C24" s="22" t="s">
        <v>607</v>
      </c>
      <c r="D24" s="22" t="s">
        <v>583</v>
      </c>
      <c r="E24" s="22" t="s">
        <v>606</v>
      </c>
      <c r="F24" s="26" t="s">
        <v>136</v>
      </c>
      <c r="G24" s="26"/>
      <c r="H24" s="26"/>
      <c r="I24" s="26"/>
    </row>
    <row r="25" customFormat="false" ht="15" hidden="false" customHeight="false" outlineLevel="0" collapsed="false">
      <c r="A25" s="22" t="n">
        <v>24</v>
      </c>
      <c r="B25" s="22" t="s">
        <v>100</v>
      </c>
      <c r="C25" s="22" t="s">
        <v>608</v>
      </c>
      <c r="D25" s="22" t="s">
        <v>574</v>
      </c>
      <c r="E25" s="22" t="s">
        <v>606</v>
      </c>
      <c r="F25" s="26" t="s">
        <v>136</v>
      </c>
      <c r="G25" s="26"/>
      <c r="H25" s="26"/>
      <c r="I25" s="26"/>
    </row>
    <row r="26" customFormat="false" ht="15" hidden="false" customHeight="false" outlineLevel="0" collapsed="false">
      <c r="A26" s="22" t="n">
        <v>25</v>
      </c>
      <c r="B26" s="22" t="s">
        <v>100</v>
      </c>
      <c r="C26" s="22" t="s">
        <v>609</v>
      </c>
      <c r="D26" s="22" t="s">
        <v>583</v>
      </c>
      <c r="E26" s="22" t="s">
        <v>606</v>
      </c>
      <c r="F26" s="26" t="s">
        <v>136</v>
      </c>
      <c r="G26" s="26"/>
      <c r="H26" s="26"/>
      <c r="I26" s="26"/>
    </row>
    <row r="27" customFormat="false" ht="15" hidden="false" customHeight="false" outlineLevel="0" collapsed="false">
      <c r="A27" s="22" t="n">
        <v>26</v>
      </c>
      <c r="B27" s="22" t="s">
        <v>100</v>
      </c>
      <c r="C27" s="22" t="s">
        <v>610</v>
      </c>
      <c r="D27" s="22" t="s">
        <v>574</v>
      </c>
      <c r="E27" s="22" t="s">
        <v>611</v>
      </c>
      <c r="F27" s="26" t="s">
        <v>136</v>
      </c>
      <c r="G27" s="26"/>
      <c r="H27" s="26"/>
      <c r="I27" s="26"/>
    </row>
    <row r="28" customFormat="false" ht="15" hidden="false" customHeight="false" outlineLevel="0" collapsed="false">
      <c r="A28" s="22" t="n">
        <v>27</v>
      </c>
      <c r="B28" s="22" t="s">
        <v>100</v>
      </c>
      <c r="C28" s="22" t="s">
        <v>612</v>
      </c>
      <c r="D28" s="22" t="s">
        <v>574</v>
      </c>
      <c r="E28" s="22" t="s">
        <v>613</v>
      </c>
      <c r="F28" s="26" t="s">
        <v>136</v>
      </c>
      <c r="G28" s="26"/>
      <c r="H28" s="26"/>
      <c r="I28" s="26"/>
    </row>
    <row r="29" customFormat="false" ht="15" hidden="false" customHeight="false" outlineLevel="0" collapsed="false">
      <c r="A29" s="22" t="n">
        <v>28</v>
      </c>
      <c r="B29" s="22" t="s">
        <v>100</v>
      </c>
      <c r="C29" s="22" t="s">
        <v>614</v>
      </c>
      <c r="D29" s="22" t="s">
        <v>574</v>
      </c>
      <c r="E29" s="22" t="s">
        <v>613</v>
      </c>
      <c r="F29" s="26" t="s">
        <v>136</v>
      </c>
      <c r="G29" s="26"/>
      <c r="H29" s="26"/>
      <c r="I29" s="26"/>
    </row>
    <row r="30" customFormat="false" ht="15" hidden="false" customHeight="false" outlineLevel="0" collapsed="false">
      <c r="A30" s="22" t="n">
        <v>29</v>
      </c>
      <c r="B30" s="22" t="s">
        <v>100</v>
      </c>
      <c r="C30" s="22" t="s">
        <v>615</v>
      </c>
      <c r="D30" s="22" t="s">
        <v>574</v>
      </c>
      <c r="E30" s="22" t="s">
        <v>616</v>
      </c>
      <c r="F30" s="26" t="s">
        <v>136</v>
      </c>
      <c r="G30" s="26"/>
      <c r="H30" s="26"/>
      <c r="I30" s="26"/>
    </row>
    <row r="31" customFormat="false" ht="15" hidden="false" customHeight="false" outlineLevel="0" collapsed="false">
      <c r="A31" s="22" t="n">
        <v>30</v>
      </c>
      <c r="B31" s="22" t="s">
        <v>100</v>
      </c>
      <c r="C31" s="22" t="s">
        <v>617</v>
      </c>
      <c r="D31" s="22" t="s">
        <v>574</v>
      </c>
      <c r="E31" s="22" t="s">
        <v>616</v>
      </c>
      <c r="F31" s="26" t="s">
        <v>136</v>
      </c>
      <c r="G31" s="26"/>
      <c r="H31" s="26"/>
      <c r="I31" s="26"/>
    </row>
    <row r="32" customFormat="false" ht="15" hidden="false" customHeight="false" outlineLevel="0" collapsed="false">
      <c r="A32" s="22" t="n">
        <v>31</v>
      </c>
      <c r="B32" s="22" t="s">
        <v>100</v>
      </c>
      <c r="C32" s="22" t="s">
        <v>618</v>
      </c>
      <c r="D32" s="22" t="s">
        <v>574</v>
      </c>
      <c r="E32" s="22" t="s">
        <v>616</v>
      </c>
      <c r="F32" s="26" t="s">
        <v>136</v>
      </c>
      <c r="G32" s="26"/>
      <c r="H32" s="26"/>
      <c r="I32" s="26"/>
    </row>
    <row r="33" customFormat="false" ht="23.85" hidden="false" customHeight="false" outlineLevel="0" collapsed="false">
      <c r="A33" s="22" t="n">
        <v>32</v>
      </c>
      <c r="B33" s="22" t="s">
        <v>100</v>
      </c>
      <c r="C33" s="22" t="s">
        <v>619</v>
      </c>
      <c r="D33" s="22" t="s">
        <v>620</v>
      </c>
      <c r="E33" s="22" t="s">
        <v>621</v>
      </c>
      <c r="F33" s="26" t="s">
        <v>136</v>
      </c>
      <c r="G33" s="26"/>
      <c r="H33" s="26"/>
      <c r="I33" s="26"/>
    </row>
    <row r="34" customFormat="false" ht="15" hidden="false" customHeight="false" outlineLevel="0" collapsed="false">
      <c r="A34" s="22" t="n">
        <v>33</v>
      </c>
      <c r="B34" s="22" t="s">
        <v>100</v>
      </c>
      <c r="C34" s="22" t="s">
        <v>622</v>
      </c>
      <c r="D34" s="22" t="s">
        <v>583</v>
      </c>
      <c r="E34" s="22" t="s">
        <v>623</v>
      </c>
      <c r="F34" s="26" t="s">
        <v>136</v>
      </c>
      <c r="G34" s="26"/>
      <c r="H34" s="26"/>
      <c r="I34" s="26"/>
    </row>
    <row r="35" customFormat="false" ht="15" hidden="false" customHeight="false" outlineLevel="0" collapsed="false">
      <c r="A35" s="22" t="n">
        <v>34</v>
      </c>
      <c r="B35" s="22" t="s">
        <v>101</v>
      </c>
      <c r="C35" s="22" t="s">
        <v>624</v>
      </c>
      <c r="D35" s="22" t="s">
        <v>574</v>
      </c>
      <c r="E35" s="22" t="s">
        <v>625</v>
      </c>
      <c r="F35" s="26" t="s">
        <v>136</v>
      </c>
      <c r="G35" s="26"/>
      <c r="H35" s="26"/>
      <c r="I35" s="26"/>
    </row>
    <row r="36" customFormat="false" ht="15" hidden="false" customHeight="false" outlineLevel="0" collapsed="false">
      <c r="A36" s="22" t="n">
        <v>35</v>
      </c>
      <c r="B36" s="22" t="s">
        <v>101</v>
      </c>
      <c r="C36" s="22" t="s">
        <v>626</v>
      </c>
      <c r="D36" s="22" t="s">
        <v>574</v>
      </c>
      <c r="E36" s="22" t="s">
        <v>625</v>
      </c>
      <c r="F36" s="26" t="s">
        <v>136</v>
      </c>
      <c r="G36" s="26"/>
      <c r="H36" s="26"/>
      <c r="I36" s="26"/>
    </row>
    <row r="37" customFormat="false" ht="15" hidden="false" customHeight="false" outlineLevel="0" collapsed="false">
      <c r="A37" s="22" t="n">
        <v>36</v>
      </c>
      <c r="B37" s="22" t="s">
        <v>101</v>
      </c>
      <c r="C37" s="22" t="s">
        <v>627</v>
      </c>
      <c r="D37" s="22" t="s">
        <v>574</v>
      </c>
      <c r="E37" s="22" t="s">
        <v>628</v>
      </c>
      <c r="F37" s="26" t="s">
        <v>136</v>
      </c>
      <c r="G37" s="26"/>
      <c r="H37" s="26"/>
      <c r="I37" s="26"/>
    </row>
    <row r="38" customFormat="false" ht="15" hidden="false" customHeight="false" outlineLevel="0" collapsed="false">
      <c r="A38" s="22" t="n">
        <v>37</v>
      </c>
      <c r="B38" s="22" t="s">
        <v>101</v>
      </c>
      <c r="C38" s="22" t="s">
        <v>629</v>
      </c>
      <c r="D38" s="22" t="s">
        <v>574</v>
      </c>
      <c r="E38" s="22" t="s">
        <v>628</v>
      </c>
      <c r="F38" s="26" t="s">
        <v>136</v>
      </c>
      <c r="G38" s="26"/>
      <c r="H38" s="26"/>
      <c r="I38" s="26"/>
    </row>
    <row r="39" customFormat="false" ht="15" hidden="false" customHeight="false" outlineLevel="0" collapsed="false">
      <c r="A39" s="22" t="n">
        <v>38</v>
      </c>
      <c r="B39" s="22" t="s">
        <v>101</v>
      </c>
      <c r="C39" s="22" t="s">
        <v>630</v>
      </c>
      <c r="D39" s="22" t="s">
        <v>574</v>
      </c>
      <c r="E39" s="22" t="s">
        <v>631</v>
      </c>
      <c r="F39" s="26" t="s">
        <v>136</v>
      </c>
      <c r="G39" s="26"/>
      <c r="H39" s="26"/>
      <c r="I39" s="26"/>
    </row>
    <row r="40" customFormat="false" ht="15" hidden="false" customHeight="false" outlineLevel="0" collapsed="false">
      <c r="A40" s="22" t="n">
        <v>39</v>
      </c>
      <c r="B40" s="22" t="s">
        <v>101</v>
      </c>
      <c r="C40" s="22" t="s">
        <v>632</v>
      </c>
      <c r="D40" s="22" t="s">
        <v>574</v>
      </c>
      <c r="E40" s="22" t="s">
        <v>631</v>
      </c>
      <c r="F40" s="26" t="s">
        <v>136</v>
      </c>
      <c r="G40" s="26"/>
      <c r="H40" s="26"/>
      <c r="I40" s="26"/>
    </row>
    <row r="41" customFormat="false" ht="15" hidden="false" customHeight="false" outlineLevel="0" collapsed="false">
      <c r="A41" s="22" t="n">
        <v>40</v>
      </c>
      <c r="B41" s="22" t="s">
        <v>101</v>
      </c>
      <c r="C41" s="22" t="s">
        <v>633</v>
      </c>
      <c r="D41" s="22" t="s">
        <v>583</v>
      </c>
      <c r="E41" s="22" t="s">
        <v>634</v>
      </c>
      <c r="F41" s="26" t="s">
        <v>136</v>
      </c>
      <c r="G41" s="26"/>
      <c r="H41" s="26"/>
      <c r="I41" s="26"/>
    </row>
    <row r="42" customFormat="false" ht="15" hidden="false" customHeight="false" outlineLevel="0" collapsed="false">
      <c r="A42" s="22" t="n">
        <v>41</v>
      </c>
      <c r="B42" s="22" t="s">
        <v>101</v>
      </c>
      <c r="C42" s="22" t="s">
        <v>635</v>
      </c>
      <c r="D42" s="22" t="s">
        <v>583</v>
      </c>
      <c r="E42" s="22" t="s">
        <v>634</v>
      </c>
      <c r="F42" s="26" t="s">
        <v>136</v>
      </c>
      <c r="G42" s="26"/>
      <c r="H42" s="26"/>
      <c r="I42" s="26"/>
    </row>
    <row r="43" customFormat="false" ht="15" hidden="false" customHeight="false" outlineLevel="0" collapsed="false">
      <c r="A43" s="22" t="n">
        <v>42</v>
      </c>
      <c r="B43" s="22" t="s">
        <v>101</v>
      </c>
      <c r="C43" s="22" t="s">
        <v>636</v>
      </c>
      <c r="D43" s="22" t="s">
        <v>574</v>
      </c>
      <c r="E43" s="22" t="s">
        <v>634</v>
      </c>
      <c r="F43" s="26" t="s">
        <v>136</v>
      </c>
      <c r="G43" s="26"/>
      <c r="H43" s="26"/>
      <c r="I43" s="26"/>
    </row>
    <row r="44" customFormat="false" ht="15" hidden="false" customHeight="false" outlineLevel="0" collapsed="false">
      <c r="A44" s="22" t="n">
        <v>43</v>
      </c>
      <c r="B44" s="22" t="s">
        <v>101</v>
      </c>
      <c r="C44" s="22" t="s">
        <v>637</v>
      </c>
      <c r="D44" s="22" t="s">
        <v>583</v>
      </c>
      <c r="E44" s="22" t="s">
        <v>638</v>
      </c>
      <c r="F44" s="26" t="s">
        <v>136</v>
      </c>
      <c r="G44" s="26"/>
      <c r="H44" s="26"/>
      <c r="I44" s="26"/>
    </row>
    <row r="45" customFormat="false" ht="15" hidden="false" customHeight="false" outlineLevel="0" collapsed="false">
      <c r="A45" s="22" t="n">
        <v>44</v>
      </c>
      <c r="B45" s="22" t="s">
        <v>101</v>
      </c>
      <c r="C45" s="22" t="s">
        <v>639</v>
      </c>
      <c r="D45" s="22" t="s">
        <v>620</v>
      </c>
      <c r="E45" s="22" t="s">
        <v>640</v>
      </c>
      <c r="F45" s="26" t="s">
        <v>136</v>
      </c>
      <c r="G45" s="26"/>
      <c r="H45" s="26"/>
      <c r="I45" s="26"/>
    </row>
    <row r="46" customFormat="false" ht="15" hidden="false" customHeight="false" outlineLevel="0" collapsed="false">
      <c r="A46" s="22" t="n">
        <v>45</v>
      </c>
      <c r="B46" s="22" t="s">
        <v>102</v>
      </c>
      <c r="C46" s="22" t="s">
        <v>641</v>
      </c>
      <c r="D46" s="22" t="s">
        <v>574</v>
      </c>
      <c r="E46" s="22" t="s">
        <v>642</v>
      </c>
      <c r="F46" s="26" t="s">
        <v>136</v>
      </c>
      <c r="G46" s="26"/>
      <c r="H46" s="26"/>
      <c r="I46" s="26"/>
    </row>
    <row r="47" customFormat="false" ht="15" hidden="false" customHeight="false" outlineLevel="0" collapsed="false">
      <c r="A47" s="22" t="n">
        <v>46</v>
      </c>
      <c r="B47" s="22" t="s">
        <v>102</v>
      </c>
      <c r="C47" s="22" t="s">
        <v>643</v>
      </c>
      <c r="D47" s="22" t="s">
        <v>574</v>
      </c>
      <c r="E47" s="22" t="s">
        <v>642</v>
      </c>
      <c r="F47" s="26" t="s">
        <v>136</v>
      </c>
      <c r="G47" s="26"/>
      <c r="H47" s="26"/>
      <c r="I47" s="26"/>
    </row>
    <row r="48" customFormat="false" ht="15" hidden="false" customHeight="false" outlineLevel="0" collapsed="false">
      <c r="A48" s="22" t="n">
        <v>47</v>
      </c>
      <c r="B48" s="22" t="s">
        <v>102</v>
      </c>
      <c r="C48" s="22" t="s">
        <v>644</v>
      </c>
      <c r="D48" s="22" t="s">
        <v>574</v>
      </c>
      <c r="E48" s="22" t="s">
        <v>645</v>
      </c>
      <c r="F48" s="26" t="s">
        <v>136</v>
      </c>
      <c r="G48" s="26"/>
      <c r="H48" s="26"/>
      <c r="I48" s="26"/>
    </row>
    <row r="49" customFormat="false" ht="15" hidden="false" customHeight="false" outlineLevel="0" collapsed="false">
      <c r="A49" s="22" t="n">
        <v>48</v>
      </c>
      <c r="B49" s="22" t="s">
        <v>102</v>
      </c>
      <c r="C49" s="22" t="s">
        <v>646</v>
      </c>
      <c r="D49" s="22" t="s">
        <v>574</v>
      </c>
      <c r="E49" s="22" t="s">
        <v>645</v>
      </c>
      <c r="F49" s="26" t="s">
        <v>136</v>
      </c>
      <c r="G49" s="26"/>
      <c r="H49" s="26"/>
      <c r="I49" s="26"/>
    </row>
    <row r="50" customFormat="false" ht="15" hidden="false" customHeight="false" outlineLevel="0" collapsed="false">
      <c r="A50" s="22" t="n">
        <v>49</v>
      </c>
      <c r="B50" s="22" t="s">
        <v>102</v>
      </c>
      <c r="C50" s="22" t="s">
        <v>647</v>
      </c>
      <c r="D50" s="22" t="s">
        <v>574</v>
      </c>
      <c r="E50" s="22" t="s">
        <v>648</v>
      </c>
      <c r="F50" s="26" t="s">
        <v>136</v>
      </c>
      <c r="G50" s="26"/>
      <c r="H50" s="26"/>
      <c r="I50" s="26"/>
    </row>
    <row r="51" customFormat="false" ht="15" hidden="false" customHeight="false" outlineLevel="0" collapsed="false">
      <c r="A51" s="22" t="n">
        <v>50</v>
      </c>
      <c r="B51" s="22" t="s">
        <v>102</v>
      </c>
      <c r="C51" s="22" t="s">
        <v>649</v>
      </c>
      <c r="D51" s="22" t="s">
        <v>574</v>
      </c>
      <c r="E51" s="22" t="s">
        <v>648</v>
      </c>
      <c r="F51" s="26" t="s">
        <v>136</v>
      </c>
      <c r="G51" s="26"/>
      <c r="H51" s="26"/>
      <c r="I51" s="26"/>
    </row>
    <row r="52" customFormat="false" ht="15" hidden="false" customHeight="false" outlineLevel="0" collapsed="false">
      <c r="A52" s="22" t="n">
        <v>51</v>
      </c>
      <c r="B52" s="22" t="s">
        <v>102</v>
      </c>
      <c r="C52" s="22" t="s">
        <v>650</v>
      </c>
      <c r="D52" s="22" t="s">
        <v>574</v>
      </c>
      <c r="E52" s="22" t="s">
        <v>651</v>
      </c>
      <c r="F52" s="26" t="s">
        <v>136</v>
      </c>
      <c r="G52" s="26"/>
      <c r="H52" s="26"/>
      <c r="I52" s="26"/>
    </row>
    <row r="53" customFormat="false" ht="15" hidden="false" customHeight="false" outlineLevel="0" collapsed="false">
      <c r="A53" s="22" t="n">
        <v>52</v>
      </c>
      <c r="B53" s="22" t="s">
        <v>102</v>
      </c>
      <c r="C53" s="22" t="s">
        <v>652</v>
      </c>
      <c r="D53" s="22" t="s">
        <v>574</v>
      </c>
      <c r="E53" s="22" t="s">
        <v>602</v>
      </c>
      <c r="F53" s="26" t="s">
        <v>136</v>
      </c>
      <c r="G53" s="26"/>
      <c r="H53" s="26"/>
      <c r="I53" s="26"/>
    </row>
    <row r="54" customFormat="false" ht="15" hidden="false" customHeight="false" outlineLevel="0" collapsed="false">
      <c r="A54" s="22" t="n">
        <v>53</v>
      </c>
      <c r="B54" s="22" t="s">
        <v>102</v>
      </c>
      <c r="C54" s="22" t="s">
        <v>653</v>
      </c>
      <c r="D54" s="22" t="s">
        <v>574</v>
      </c>
      <c r="E54" s="22" t="s">
        <v>602</v>
      </c>
      <c r="F54" s="26" t="s">
        <v>136</v>
      </c>
      <c r="G54" s="26"/>
      <c r="H54" s="26"/>
      <c r="I54" s="26"/>
    </row>
    <row r="55" customFormat="false" ht="15" hidden="false" customHeight="false" outlineLevel="0" collapsed="false">
      <c r="A55" s="22" t="n">
        <v>54</v>
      </c>
      <c r="B55" s="22" t="s">
        <v>102</v>
      </c>
      <c r="C55" s="22" t="s">
        <v>654</v>
      </c>
      <c r="D55" s="22" t="s">
        <v>583</v>
      </c>
      <c r="E55" s="22" t="s">
        <v>655</v>
      </c>
      <c r="F55" s="26" t="s">
        <v>136</v>
      </c>
      <c r="G55" s="26"/>
      <c r="H55" s="26"/>
      <c r="I55" s="26"/>
    </row>
    <row r="56" customFormat="false" ht="15" hidden="false" customHeight="false" outlineLevel="0" collapsed="false">
      <c r="A56" s="22" t="n">
        <v>55</v>
      </c>
      <c r="B56" s="22" t="s">
        <v>102</v>
      </c>
      <c r="C56" s="22" t="s">
        <v>656</v>
      </c>
      <c r="D56" s="22" t="s">
        <v>583</v>
      </c>
      <c r="E56" s="22" t="s">
        <v>655</v>
      </c>
      <c r="F56" s="26" t="s">
        <v>136</v>
      </c>
      <c r="G56" s="26"/>
      <c r="H56" s="26"/>
      <c r="I56" s="26"/>
    </row>
    <row r="57" customFormat="false" ht="15" hidden="false" customHeight="false" outlineLevel="0" collapsed="false">
      <c r="A57" s="22" t="n">
        <v>56</v>
      </c>
      <c r="B57" s="22" t="s">
        <v>102</v>
      </c>
      <c r="C57" s="22" t="s">
        <v>657</v>
      </c>
      <c r="D57" s="22" t="s">
        <v>583</v>
      </c>
      <c r="E57" s="22" t="s">
        <v>655</v>
      </c>
      <c r="F57" s="26" t="s">
        <v>136</v>
      </c>
      <c r="G57" s="26"/>
      <c r="H57" s="26"/>
      <c r="I57" s="26"/>
    </row>
    <row r="58" customFormat="false" ht="15" hidden="false" customHeight="false" outlineLevel="0" collapsed="false">
      <c r="A58" s="22" t="n">
        <v>57</v>
      </c>
      <c r="B58" s="22" t="s">
        <v>102</v>
      </c>
      <c r="C58" s="22" t="s">
        <v>658</v>
      </c>
      <c r="D58" s="22" t="s">
        <v>583</v>
      </c>
      <c r="E58" s="22" t="s">
        <v>655</v>
      </c>
      <c r="F58" s="26" t="s">
        <v>136</v>
      </c>
      <c r="G58" s="26"/>
      <c r="H58" s="26"/>
      <c r="I58" s="26"/>
    </row>
    <row r="59" customFormat="false" ht="15" hidden="false" customHeight="false" outlineLevel="0" collapsed="false">
      <c r="A59" s="22" t="n">
        <v>58</v>
      </c>
      <c r="B59" s="22" t="s">
        <v>102</v>
      </c>
      <c r="C59" s="22" t="s">
        <v>659</v>
      </c>
      <c r="D59" s="22" t="s">
        <v>583</v>
      </c>
      <c r="E59" s="22" t="s">
        <v>660</v>
      </c>
      <c r="F59" s="26" t="s">
        <v>136</v>
      </c>
      <c r="G59" s="26"/>
      <c r="H59" s="26"/>
      <c r="I59" s="26"/>
    </row>
    <row r="60" customFormat="false" ht="15" hidden="false" customHeight="false" outlineLevel="0" collapsed="false">
      <c r="A60" s="22" t="n">
        <v>59</v>
      </c>
      <c r="B60" s="22" t="s">
        <v>102</v>
      </c>
      <c r="C60" s="22" t="s">
        <v>661</v>
      </c>
      <c r="D60" s="22" t="s">
        <v>583</v>
      </c>
      <c r="E60" s="22" t="s">
        <v>655</v>
      </c>
      <c r="F60" s="26" t="s">
        <v>136</v>
      </c>
      <c r="G60" s="26"/>
      <c r="H60" s="26"/>
      <c r="I60" s="26"/>
    </row>
    <row r="61" customFormat="false" ht="15" hidden="false" customHeight="false" outlineLevel="0" collapsed="false">
      <c r="A61" s="22" t="n">
        <v>60</v>
      </c>
      <c r="B61" s="22" t="s">
        <v>103</v>
      </c>
      <c r="C61" s="22" t="s">
        <v>662</v>
      </c>
      <c r="D61" s="22" t="s">
        <v>574</v>
      </c>
      <c r="E61" s="22" t="s">
        <v>663</v>
      </c>
      <c r="F61" s="26" t="s">
        <v>136</v>
      </c>
      <c r="G61" s="26"/>
      <c r="H61" s="26"/>
      <c r="I61" s="26"/>
    </row>
    <row r="62" customFormat="false" ht="15" hidden="false" customHeight="false" outlineLevel="0" collapsed="false">
      <c r="A62" s="22" t="n">
        <v>61</v>
      </c>
      <c r="B62" s="22" t="s">
        <v>103</v>
      </c>
      <c r="C62" s="22" t="s">
        <v>664</v>
      </c>
      <c r="D62" s="22" t="s">
        <v>574</v>
      </c>
      <c r="E62" s="22" t="s">
        <v>663</v>
      </c>
      <c r="F62" s="26" t="s">
        <v>136</v>
      </c>
      <c r="G62" s="26"/>
      <c r="H62" s="26"/>
      <c r="I62" s="26"/>
    </row>
    <row r="63" customFormat="false" ht="15" hidden="false" customHeight="false" outlineLevel="0" collapsed="false">
      <c r="A63" s="22" t="n">
        <v>62</v>
      </c>
      <c r="B63" s="22" t="s">
        <v>103</v>
      </c>
      <c r="C63" s="22" t="s">
        <v>665</v>
      </c>
      <c r="D63" s="22" t="s">
        <v>583</v>
      </c>
      <c r="E63" s="22" t="s">
        <v>663</v>
      </c>
      <c r="F63" s="26" t="s">
        <v>136</v>
      </c>
      <c r="G63" s="26"/>
      <c r="H63" s="26"/>
      <c r="I63" s="26"/>
    </row>
    <row r="64" customFormat="false" ht="15" hidden="false" customHeight="false" outlineLevel="0" collapsed="false">
      <c r="A64" s="22" t="n">
        <v>63</v>
      </c>
      <c r="B64" s="22" t="s">
        <v>103</v>
      </c>
      <c r="C64" s="22" t="s">
        <v>666</v>
      </c>
      <c r="D64" s="22" t="s">
        <v>574</v>
      </c>
      <c r="E64" s="22" t="s">
        <v>663</v>
      </c>
      <c r="F64" s="26" t="s">
        <v>136</v>
      </c>
      <c r="G64" s="26"/>
      <c r="H64" s="26"/>
      <c r="I64" s="26"/>
    </row>
    <row r="65" customFormat="false" ht="15" hidden="false" customHeight="false" outlineLevel="0" collapsed="false">
      <c r="A65" s="22" t="n">
        <v>64</v>
      </c>
      <c r="B65" s="22" t="s">
        <v>103</v>
      </c>
      <c r="C65" s="22" t="s">
        <v>667</v>
      </c>
      <c r="D65" s="22" t="s">
        <v>574</v>
      </c>
      <c r="E65" s="22" t="s">
        <v>668</v>
      </c>
      <c r="F65" s="26" t="s">
        <v>136</v>
      </c>
      <c r="G65" s="26"/>
      <c r="H65" s="26"/>
      <c r="I65" s="26"/>
    </row>
    <row r="66" customFormat="false" ht="15" hidden="false" customHeight="false" outlineLevel="0" collapsed="false">
      <c r="A66" s="22" t="n">
        <v>65</v>
      </c>
      <c r="B66" s="22" t="s">
        <v>103</v>
      </c>
      <c r="C66" s="22" t="s">
        <v>669</v>
      </c>
      <c r="D66" s="22" t="s">
        <v>574</v>
      </c>
      <c r="E66" s="22" t="s">
        <v>668</v>
      </c>
      <c r="F66" s="26" t="s">
        <v>136</v>
      </c>
      <c r="G66" s="26"/>
      <c r="H66" s="26"/>
      <c r="I66" s="26"/>
    </row>
    <row r="67" customFormat="false" ht="15" hidden="false" customHeight="false" outlineLevel="0" collapsed="false">
      <c r="A67" s="22" t="n">
        <v>66</v>
      </c>
      <c r="B67" s="22" t="s">
        <v>103</v>
      </c>
      <c r="C67" s="22" t="s">
        <v>670</v>
      </c>
      <c r="D67" s="22" t="s">
        <v>583</v>
      </c>
      <c r="E67" s="22" t="s">
        <v>668</v>
      </c>
      <c r="F67" s="26" t="s">
        <v>136</v>
      </c>
      <c r="G67" s="26"/>
      <c r="H67" s="26"/>
      <c r="I67" s="26"/>
    </row>
    <row r="68" customFormat="false" ht="15" hidden="false" customHeight="false" outlineLevel="0" collapsed="false">
      <c r="A68" s="22" t="n">
        <v>67</v>
      </c>
      <c r="B68" s="22" t="s">
        <v>103</v>
      </c>
      <c r="C68" s="22" t="s">
        <v>671</v>
      </c>
      <c r="D68" s="22" t="s">
        <v>583</v>
      </c>
      <c r="E68" s="22" t="s">
        <v>672</v>
      </c>
      <c r="F68" s="26" t="s">
        <v>136</v>
      </c>
      <c r="G68" s="26"/>
      <c r="H68" s="26"/>
      <c r="I68" s="26"/>
    </row>
    <row r="69" customFormat="false" ht="15" hidden="false" customHeight="false" outlineLevel="0" collapsed="false">
      <c r="A69" s="22" t="n">
        <v>68</v>
      </c>
      <c r="B69" s="22" t="s">
        <v>103</v>
      </c>
      <c r="C69" s="22" t="s">
        <v>673</v>
      </c>
      <c r="D69" s="22" t="s">
        <v>620</v>
      </c>
      <c r="E69" s="22" t="s">
        <v>640</v>
      </c>
      <c r="F69" s="26" t="s">
        <v>136</v>
      </c>
      <c r="G69" s="26"/>
      <c r="H69" s="26"/>
      <c r="I69" s="26"/>
    </row>
    <row r="70" customFormat="false" ht="15" hidden="false" customHeight="false" outlineLevel="0" collapsed="false">
      <c r="A70" s="22" t="n">
        <v>69</v>
      </c>
      <c r="B70" s="22" t="s">
        <v>103</v>
      </c>
      <c r="C70" s="22" t="s">
        <v>674</v>
      </c>
      <c r="D70" s="22" t="s">
        <v>574</v>
      </c>
      <c r="E70" s="22" t="s">
        <v>675</v>
      </c>
      <c r="F70" s="26" t="s">
        <v>136</v>
      </c>
      <c r="G70" s="26"/>
      <c r="H70" s="26"/>
      <c r="I70" s="26"/>
    </row>
    <row r="71" customFormat="false" ht="15" hidden="false" customHeight="false" outlineLevel="0" collapsed="false">
      <c r="A71" s="22" t="n">
        <v>70</v>
      </c>
      <c r="B71" s="22" t="s">
        <v>103</v>
      </c>
      <c r="C71" s="22" t="s">
        <v>676</v>
      </c>
      <c r="D71" s="22" t="s">
        <v>574</v>
      </c>
      <c r="E71" s="22" t="s">
        <v>675</v>
      </c>
      <c r="F71" s="26" t="s">
        <v>136</v>
      </c>
      <c r="G71" s="26"/>
      <c r="H71" s="26"/>
      <c r="I71" s="26"/>
    </row>
    <row r="72" customFormat="false" ht="15" hidden="false" customHeight="false" outlineLevel="0" collapsed="false">
      <c r="A72" s="22" t="n">
        <v>71</v>
      </c>
      <c r="B72" s="22" t="s">
        <v>103</v>
      </c>
      <c r="C72" s="22" t="s">
        <v>677</v>
      </c>
      <c r="D72" s="22" t="s">
        <v>583</v>
      </c>
      <c r="E72" s="22" t="s">
        <v>675</v>
      </c>
      <c r="F72" s="26" t="s">
        <v>136</v>
      </c>
      <c r="G72" s="26"/>
      <c r="H72" s="26"/>
      <c r="I72" s="26"/>
    </row>
    <row r="73" customFormat="false" ht="15" hidden="false" customHeight="false" outlineLevel="0" collapsed="false">
      <c r="A73" s="22" t="n">
        <v>72</v>
      </c>
      <c r="B73" s="22" t="s">
        <v>103</v>
      </c>
      <c r="C73" s="22" t="s">
        <v>678</v>
      </c>
      <c r="D73" s="22" t="s">
        <v>583</v>
      </c>
      <c r="E73" s="22" t="s">
        <v>675</v>
      </c>
      <c r="F73" s="26" t="s">
        <v>136</v>
      </c>
      <c r="G73" s="26"/>
      <c r="H73" s="26"/>
      <c r="I73" s="26"/>
    </row>
    <row r="74" customFormat="false" ht="15" hidden="false" customHeight="false" outlineLevel="0" collapsed="false">
      <c r="A74" s="22" t="n">
        <v>73</v>
      </c>
      <c r="B74" s="22" t="s">
        <v>103</v>
      </c>
      <c r="C74" s="22" t="s">
        <v>679</v>
      </c>
      <c r="D74" s="22" t="s">
        <v>583</v>
      </c>
      <c r="E74" s="22" t="s">
        <v>675</v>
      </c>
      <c r="F74" s="26" t="s">
        <v>136</v>
      </c>
      <c r="G74" s="26"/>
      <c r="H74" s="26"/>
      <c r="I74" s="26"/>
    </row>
    <row r="75" customFormat="false" ht="15" hidden="false" customHeight="false" outlineLevel="0" collapsed="false">
      <c r="A75" s="22" t="n">
        <v>74</v>
      </c>
      <c r="B75" s="22" t="s">
        <v>103</v>
      </c>
      <c r="C75" s="22" t="s">
        <v>680</v>
      </c>
      <c r="D75" s="22" t="s">
        <v>583</v>
      </c>
      <c r="E75" s="22" t="s">
        <v>681</v>
      </c>
      <c r="F75" s="26" t="s">
        <v>136</v>
      </c>
      <c r="G75" s="26"/>
      <c r="H75" s="26"/>
      <c r="I75" s="26"/>
    </row>
    <row r="76" customFormat="false" ht="15" hidden="false" customHeight="false" outlineLevel="0" collapsed="false">
      <c r="A76" s="22" t="n">
        <v>75</v>
      </c>
      <c r="B76" s="22" t="s">
        <v>103</v>
      </c>
      <c r="C76" s="22" t="s">
        <v>682</v>
      </c>
      <c r="D76" s="22" t="s">
        <v>574</v>
      </c>
      <c r="E76" s="22" t="s">
        <v>683</v>
      </c>
      <c r="F76" s="26" t="s">
        <v>136</v>
      </c>
      <c r="G76" s="26"/>
      <c r="H76" s="26"/>
      <c r="I76" s="26"/>
    </row>
    <row r="77" customFormat="false" ht="15" hidden="false" customHeight="false" outlineLevel="0" collapsed="false">
      <c r="A77" s="22" t="n">
        <v>76</v>
      </c>
      <c r="B77" s="22" t="s">
        <v>103</v>
      </c>
      <c r="C77" s="22" t="s">
        <v>684</v>
      </c>
      <c r="D77" s="22" t="s">
        <v>583</v>
      </c>
      <c r="E77" s="22" t="s">
        <v>685</v>
      </c>
      <c r="F77" s="26" t="s">
        <v>136</v>
      </c>
      <c r="G77" s="26"/>
      <c r="H77" s="26"/>
      <c r="I77" s="26"/>
    </row>
    <row r="78" customFormat="false" ht="15" hidden="false" customHeight="false" outlineLevel="0" collapsed="false">
      <c r="A78" s="22" t="n">
        <v>77</v>
      </c>
      <c r="B78" s="22" t="s">
        <v>103</v>
      </c>
      <c r="C78" s="22" t="s">
        <v>686</v>
      </c>
      <c r="D78" s="22" t="s">
        <v>620</v>
      </c>
      <c r="E78" s="22" t="s">
        <v>640</v>
      </c>
      <c r="F78" s="26" t="s">
        <v>136</v>
      </c>
      <c r="G78" s="26"/>
      <c r="H78" s="26"/>
      <c r="I78" s="26"/>
    </row>
    <row r="79" customFormat="false" ht="15" hidden="false" customHeight="false" outlineLevel="0" collapsed="false">
      <c r="A79" s="22" t="n">
        <v>78</v>
      </c>
      <c r="B79" s="22" t="s">
        <v>104</v>
      </c>
      <c r="C79" s="22" t="s">
        <v>687</v>
      </c>
      <c r="D79" s="22" t="s">
        <v>574</v>
      </c>
      <c r="E79" s="22" t="s">
        <v>688</v>
      </c>
      <c r="F79" s="26" t="s">
        <v>136</v>
      </c>
      <c r="G79" s="26"/>
      <c r="H79" s="26"/>
      <c r="I79" s="26"/>
    </row>
    <row r="80" customFormat="false" ht="15" hidden="false" customHeight="false" outlineLevel="0" collapsed="false">
      <c r="A80" s="22" t="n">
        <v>79</v>
      </c>
      <c r="B80" s="22" t="s">
        <v>104</v>
      </c>
      <c r="C80" s="22" t="s">
        <v>689</v>
      </c>
      <c r="D80" s="22" t="s">
        <v>574</v>
      </c>
      <c r="E80" s="22" t="s">
        <v>688</v>
      </c>
      <c r="F80" s="26" t="s">
        <v>136</v>
      </c>
      <c r="G80" s="26"/>
      <c r="H80" s="26"/>
      <c r="I80" s="26"/>
    </row>
    <row r="81" customFormat="false" ht="15" hidden="false" customHeight="false" outlineLevel="0" collapsed="false">
      <c r="A81" s="22" t="n">
        <v>80</v>
      </c>
      <c r="B81" s="22" t="s">
        <v>104</v>
      </c>
      <c r="C81" s="22" t="s">
        <v>690</v>
      </c>
      <c r="D81" s="22" t="s">
        <v>583</v>
      </c>
      <c r="E81" s="22" t="s">
        <v>623</v>
      </c>
      <c r="F81" s="26" t="s">
        <v>136</v>
      </c>
      <c r="G81" s="26"/>
      <c r="H81" s="26"/>
      <c r="I81" s="26"/>
    </row>
    <row r="82" customFormat="false" ht="15" hidden="false" customHeight="false" outlineLevel="0" collapsed="false">
      <c r="A82" s="22" t="n">
        <v>81</v>
      </c>
      <c r="B82" s="22" t="s">
        <v>104</v>
      </c>
      <c r="C82" s="22" t="s">
        <v>691</v>
      </c>
      <c r="D82" s="22" t="s">
        <v>574</v>
      </c>
      <c r="E82" s="22" t="s">
        <v>692</v>
      </c>
      <c r="F82" s="26" t="s">
        <v>136</v>
      </c>
      <c r="G82" s="26"/>
      <c r="H82" s="26"/>
      <c r="I82" s="26"/>
    </row>
    <row r="83" customFormat="false" ht="15" hidden="false" customHeight="false" outlineLevel="0" collapsed="false">
      <c r="A83" s="22" t="n">
        <v>82</v>
      </c>
      <c r="B83" s="22" t="s">
        <v>104</v>
      </c>
      <c r="C83" s="22" t="s">
        <v>693</v>
      </c>
      <c r="D83" s="22" t="s">
        <v>574</v>
      </c>
      <c r="E83" s="22" t="s">
        <v>692</v>
      </c>
      <c r="F83" s="26" t="s">
        <v>136</v>
      </c>
      <c r="G83" s="26"/>
      <c r="H83" s="26"/>
      <c r="I83" s="26"/>
    </row>
    <row r="84" customFormat="false" ht="15" hidden="false" customHeight="false" outlineLevel="0" collapsed="false">
      <c r="A84" s="22" t="n">
        <v>83</v>
      </c>
      <c r="B84" s="22" t="s">
        <v>104</v>
      </c>
      <c r="C84" s="22" t="s">
        <v>694</v>
      </c>
      <c r="D84" s="22" t="s">
        <v>583</v>
      </c>
      <c r="E84" s="22" t="s">
        <v>692</v>
      </c>
      <c r="F84" s="26" t="s">
        <v>136</v>
      </c>
      <c r="G84" s="26"/>
      <c r="H84" s="26"/>
      <c r="I84" s="26"/>
    </row>
    <row r="85" customFormat="false" ht="15" hidden="false" customHeight="false" outlineLevel="0" collapsed="false">
      <c r="A85" s="22" t="n">
        <v>84</v>
      </c>
      <c r="B85" s="22" t="s">
        <v>104</v>
      </c>
      <c r="C85" s="22" t="s">
        <v>695</v>
      </c>
      <c r="D85" s="22" t="s">
        <v>583</v>
      </c>
      <c r="E85" s="22" t="s">
        <v>696</v>
      </c>
      <c r="F85" s="26" t="s">
        <v>136</v>
      </c>
      <c r="G85" s="26"/>
      <c r="H85" s="26"/>
      <c r="I85" s="26"/>
    </row>
    <row r="86" customFormat="false" ht="15" hidden="false" customHeight="false" outlineLevel="0" collapsed="false">
      <c r="A86" s="22" t="n">
        <v>85</v>
      </c>
      <c r="B86" s="22" t="s">
        <v>104</v>
      </c>
      <c r="C86" s="22" t="s">
        <v>697</v>
      </c>
      <c r="D86" s="22" t="s">
        <v>574</v>
      </c>
      <c r="E86" s="22" t="s">
        <v>696</v>
      </c>
      <c r="F86" s="26" t="s">
        <v>136</v>
      </c>
      <c r="G86" s="26"/>
      <c r="H86" s="26"/>
      <c r="I86" s="26"/>
    </row>
    <row r="87" customFormat="false" ht="15" hidden="false" customHeight="false" outlineLevel="0" collapsed="false">
      <c r="A87" s="22" t="n">
        <v>86</v>
      </c>
      <c r="B87" s="22" t="s">
        <v>104</v>
      </c>
      <c r="C87" s="22" t="s">
        <v>698</v>
      </c>
      <c r="D87" s="22" t="s">
        <v>583</v>
      </c>
      <c r="E87" s="22" t="s">
        <v>699</v>
      </c>
      <c r="F87" s="26" t="s">
        <v>136</v>
      </c>
      <c r="G87" s="26"/>
      <c r="H87" s="26"/>
      <c r="I87" s="26"/>
    </row>
    <row r="88" customFormat="false" ht="15" hidden="false" customHeight="false" outlineLevel="0" collapsed="false">
      <c r="A88" s="22" t="n">
        <v>87</v>
      </c>
      <c r="B88" s="22" t="s">
        <v>104</v>
      </c>
      <c r="C88" s="22" t="s">
        <v>700</v>
      </c>
      <c r="D88" s="22" t="s">
        <v>574</v>
      </c>
      <c r="E88" s="22" t="s">
        <v>701</v>
      </c>
      <c r="F88" s="26" t="s">
        <v>136</v>
      </c>
      <c r="G88" s="26"/>
      <c r="H88" s="26"/>
      <c r="I88" s="26"/>
    </row>
    <row r="89" customFormat="false" ht="15" hidden="false" customHeight="false" outlineLevel="0" collapsed="false">
      <c r="A89" s="22" t="n">
        <v>88</v>
      </c>
      <c r="B89" s="22" t="s">
        <v>104</v>
      </c>
      <c r="C89" s="22" t="s">
        <v>702</v>
      </c>
      <c r="D89" s="22" t="s">
        <v>574</v>
      </c>
      <c r="E89" s="22" t="s">
        <v>703</v>
      </c>
      <c r="F89" s="26" t="s">
        <v>136</v>
      </c>
      <c r="G89" s="26"/>
      <c r="H89" s="26"/>
      <c r="I89" s="26"/>
    </row>
    <row r="90" customFormat="false" ht="15" hidden="false" customHeight="false" outlineLevel="0" collapsed="false">
      <c r="A90" s="22" t="n">
        <v>89</v>
      </c>
      <c r="B90" s="22" t="s">
        <v>104</v>
      </c>
      <c r="C90" s="22" t="s">
        <v>704</v>
      </c>
      <c r="D90" s="22" t="s">
        <v>583</v>
      </c>
      <c r="E90" s="22" t="s">
        <v>701</v>
      </c>
      <c r="F90" s="26" t="s">
        <v>136</v>
      </c>
      <c r="G90" s="26"/>
      <c r="H90" s="26"/>
      <c r="I90" s="26"/>
    </row>
    <row r="91" customFormat="false" ht="15" hidden="false" customHeight="false" outlineLevel="0" collapsed="false">
      <c r="A91" s="22" t="n">
        <v>90</v>
      </c>
      <c r="B91" s="22" t="s">
        <v>104</v>
      </c>
      <c r="C91" s="22" t="s">
        <v>705</v>
      </c>
      <c r="D91" s="22" t="s">
        <v>583</v>
      </c>
      <c r="E91" s="22" t="s">
        <v>703</v>
      </c>
      <c r="F91" s="26" t="s">
        <v>136</v>
      </c>
      <c r="G91" s="26"/>
      <c r="H91" s="26"/>
      <c r="I91" s="26"/>
    </row>
    <row r="92" customFormat="false" ht="15" hidden="false" customHeight="false" outlineLevel="0" collapsed="false">
      <c r="A92" s="22" t="n">
        <v>91</v>
      </c>
      <c r="B92" s="22" t="s">
        <v>104</v>
      </c>
      <c r="C92" s="22" t="s">
        <v>706</v>
      </c>
      <c r="D92" s="22" t="s">
        <v>574</v>
      </c>
      <c r="E92" s="22" t="s">
        <v>703</v>
      </c>
      <c r="F92" s="26" t="s">
        <v>136</v>
      </c>
      <c r="G92" s="26"/>
      <c r="H92" s="26"/>
      <c r="I92" s="26"/>
    </row>
    <row r="93" customFormat="false" ht="15" hidden="false" customHeight="false" outlineLevel="0" collapsed="false">
      <c r="A93" s="22" t="n">
        <v>92</v>
      </c>
      <c r="B93" s="22" t="s">
        <v>104</v>
      </c>
      <c r="C93" s="22" t="s">
        <v>707</v>
      </c>
      <c r="D93" s="22" t="s">
        <v>574</v>
      </c>
      <c r="E93" s="22" t="s">
        <v>708</v>
      </c>
      <c r="F93" s="26" t="s">
        <v>136</v>
      </c>
      <c r="G93" s="26"/>
      <c r="H93" s="26"/>
      <c r="I93" s="26"/>
    </row>
    <row r="94" customFormat="false" ht="15" hidden="false" customHeight="false" outlineLevel="0" collapsed="false">
      <c r="A94" s="22" t="n">
        <v>93</v>
      </c>
      <c r="B94" s="22" t="s">
        <v>104</v>
      </c>
      <c r="C94" s="22" t="s">
        <v>709</v>
      </c>
      <c r="D94" s="22" t="s">
        <v>583</v>
      </c>
      <c r="E94" s="22" t="s">
        <v>701</v>
      </c>
      <c r="F94" s="26" t="s">
        <v>136</v>
      </c>
      <c r="G94" s="26"/>
      <c r="H94" s="26"/>
      <c r="I94" s="26"/>
    </row>
    <row r="95" customFormat="false" ht="15" hidden="false" customHeight="false" outlineLevel="0" collapsed="false">
      <c r="A95" s="22" t="n">
        <v>94</v>
      </c>
      <c r="B95" s="22" t="s">
        <v>104</v>
      </c>
      <c r="C95" s="22" t="s">
        <v>710</v>
      </c>
      <c r="D95" s="22" t="s">
        <v>620</v>
      </c>
      <c r="E95" s="22" t="s">
        <v>640</v>
      </c>
      <c r="F95" s="26" t="s">
        <v>136</v>
      </c>
      <c r="G95" s="26"/>
      <c r="H95" s="26"/>
      <c r="I95" s="26"/>
    </row>
    <row r="96" customFormat="false" ht="15" hidden="false" customHeight="false" outlineLevel="0" collapsed="false">
      <c r="A96" s="22" t="n">
        <v>95</v>
      </c>
      <c r="B96" s="22" t="s">
        <v>105</v>
      </c>
      <c r="C96" s="22" t="s">
        <v>711</v>
      </c>
      <c r="D96" s="22" t="s">
        <v>574</v>
      </c>
      <c r="E96" s="22" t="s">
        <v>712</v>
      </c>
      <c r="F96" s="26" t="s">
        <v>136</v>
      </c>
      <c r="G96" s="26"/>
      <c r="H96" s="26"/>
      <c r="I96" s="26"/>
    </row>
    <row r="97" customFormat="false" ht="15" hidden="false" customHeight="false" outlineLevel="0" collapsed="false">
      <c r="A97" s="22" t="n">
        <v>96</v>
      </c>
      <c r="B97" s="22" t="s">
        <v>105</v>
      </c>
      <c r="C97" s="22" t="s">
        <v>713</v>
      </c>
      <c r="D97" s="22" t="s">
        <v>574</v>
      </c>
      <c r="E97" s="22" t="s">
        <v>575</v>
      </c>
      <c r="F97" s="26" t="s">
        <v>136</v>
      </c>
      <c r="G97" s="26"/>
      <c r="H97" s="26"/>
      <c r="I97" s="26"/>
    </row>
    <row r="98" customFormat="false" ht="15" hidden="false" customHeight="false" outlineLevel="0" collapsed="false">
      <c r="A98" s="22" t="n">
        <v>97</v>
      </c>
      <c r="B98" s="22" t="s">
        <v>105</v>
      </c>
      <c r="C98" s="22" t="s">
        <v>714</v>
      </c>
      <c r="D98" s="22" t="s">
        <v>574</v>
      </c>
      <c r="E98" s="22" t="s">
        <v>578</v>
      </c>
      <c r="F98" s="26" t="s">
        <v>136</v>
      </c>
      <c r="G98" s="26"/>
      <c r="H98" s="26"/>
      <c r="I98" s="26"/>
    </row>
    <row r="99" customFormat="false" ht="15" hidden="false" customHeight="false" outlineLevel="0" collapsed="false">
      <c r="A99" s="22" t="n">
        <v>98</v>
      </c>
      <c r="B99" s="22" t="s">
        <v>105</v>
      </c>
      <c r="C99" s="22" t="s">
        <v>715</v>
      </c>
      <c r="D99" s="22" t="s">
        <v>574</v>
      </c>
      <c r="E99" s="22" t="s">
        <v>581</v>
      </c>
      <c r="F99" s="26" t="s">
        <v>136</v>
      </c>
      <c r="G99" s="26"/>
      <c r="H99" s="26"/>
      <c r="I99" s="26"/>
    </row>
    <row r="100" customFormat="false" ht="15" hidden="false" customHeight="false" outlineLevel="0" collapsed="false">
      <c r="A100" s="22" t="n">
        <v>99</v>
      </c>
      <c r="B100" s="22" t="s">
        <v>105</v>
      </c>
      <c r="C100" s="22" t="s">
        <v>716</v>
      </c>
      <c r="D100" s="22" t="s">
        <v>574</v>
      </c>
      <c r="E100" s="22" t="s">
        <v>585</v>
      </c>
      <c r="F100" s="26" t="s">
        <v>136</v>
      </c>
      <c r="G100" s="26"/>
      <c r="H100" s="26"/>
      <c r="I100" s="26"/>
    </row>
    <row r="101" customFormat="false" ht="15" hidden="false" customHeight="false" outlineLevel="0" collapsed="false">
      <c r="A101" s="22" t="n">
        <v>100</v>
      </c>
      <c r="B101" s="22" t="s">
        <v>105</v>
      </c>
      <c r="C101" s="22" t="s">
        <v>717</v>
      </c>
      <c r="D101" s="22" t="s">
        <v>574</v>
      </c>
      <c r="E101" s="22" t="s">
        <v>588</v>
      </c>
      <c r="F101" s="26" t="s">
        <v>136</v>
      </c>
      <c r="G101" s="26"/>
      <c r="H101" s="26"/>
      <c r="I101" s="26"/>
    </row>
    <row r="102" customFormat="false" ht="15" hidden="false" customHeight="false" outlineLevel="0" collapsed="false">
      <c r="A102" s="22" t="n">
        <v>101</v>
      </c>
      <c r="B102" s="22" t="s">
        <v>105</v>
      </c>
      <c r="C102" s="22" t="s">
        <v>718</v>
      </c>
      <c r="D102" s="22" t="s">
        <v>574</v>
      </c>
      <c r="E102" s="22" t="s">
        <v>642</v>
      </c>
      <c r="F102" s="26" t="s">
        <v>136</v>
      </c>
      <c r="G102" s="26"/>
      <c r="H102" s="26"/>
      <c r="I102" s="26"/>
    </row>
    <row r="103" customFormat="false" ht="15" hidden="false" customHeight="false" outlineLevel="0" collapsed="false">
      <c r="A103" s="22" t="n">
        <v>102</v>
      </c>
      <c r="B103" s="22" t="s">
        <v>105</v>
      </c>
      <c r="C103" s="22" t="s">
        <v>719</v>
      </c>
      <c r="D103" s="22" t="s">
        <v>574</v>
      </c>
      <c r="E103" s="22" t="s">
        <v>645</v>
      </c>
      <c r="F103" s="26" t="s">
        <v>136</v>
      </c>
      <c r="G103" s="26"/>
      <c r="H103" s="26"/>
      <c r="I103" s="26"/>
    </row>
    <row r="104" customFormat="false" ht="15" hidden="false" customHeight="false" outlineLevel="0" collapsed="false">
      <c r="A104" s="22" t="n">
        <v>103</v>
      </c>
      <c r="B104" s="22" t="s">
        <v>105</v>
      </c>
      <c r="C104" s="22" t="s">
        <v>720</v>
      </c>
      <c r="D104" s="22" t="s">
        <v>574</v>
      </c>
      <c r="E104" s="22" t="s">
        <v>648</v>
      </c>
      <c r="F104" s="26" t="s">
        <v>136</v>
      </c>
      <c r="G104" s="26"/>
      <c r="H104" s="26"/>
      <c r="I104" s="26"/>
    </row>
    <row r="105" customFormat="false" ht="15" hidden="false" customHeight="false" outlineLevel="0" collapsed="false">
      <c r="A105" s="22" t="n">
        <v>104</v>
      </c>
      <c r="B105" s="22" t="s">
        <v>105</v>
      </c>
      <c r="C105" s="22" t="s">
        <v>721</v>
      </c>
      <c r="D105" s="22" t="s">
        <v>574</v>
      </c>
      <c r="E105" s="22" t="s">
        <v>591</v>
      </c>
      <c r="F105" s="26" t="s">
        <v>136</v>
      </c>
      <c r="G105" s="26"/>
      <c r="H105" s="26"/>
      <c r="I105" s="26"/>
    </row>
    <row r="106" customFormat="false" ht="15" hidden="false" customHeight="false" outlineLevel="0" collapsed="false">
      <c r="A106" s="22" t="n">
        <v>105</v>
      </c>
      <c r="B106" s="22" t="s">
        <v>105</v>
      </c>
      <c r="C106" s="22" t="s">
        <v>722</v>
      </c>
      <c r="D106" s="22" t="s">
        <v>574</v>
      </c>
      <c r="E106" s="22" t="s">
        <v>595</v>
      </c>
      <c r="F106" s="26" t="s">
        <v>136</v>
      </c>
      <c r="G106" s="26"/>
      <c r="H106" s="26"/>
      <c r="I106" s="26"/>
    </row>
    <row r="107" customFormat="false" ht="15" hidden="false" customHeight="false" outlineLevel="0" collapsed="false">
      <c r="A107" s="22" t="n">
        <v>106</v>
      </c>
      <c r="B107" s="22" t="s">
        <v>105</v>
      </c>
      <c r="C107" s="22" t="s">
        <v>723</v>
      </c>
      <c r="D107" s="22" t="s">
        <v>574</v>
      </c>
      <c r="E107" s="22" t="s">
        <v>599</v>
      </c>
      <c r="F107" s="26" t="s">
        <v>136</v>
      </c>
      <c r="G107" s="26"/>
      <c r="H107" s="26"/>
      <c r="I107" s="26"/>
    </row>
    <row r="108" customFormat="false" ht="15" hidden="false" customHeight="false" outlineLevel="0" collapsed="false">
      <c r="A108" s="22" t="n">
        <v>107</v>
      </c>
      <c r="B108" s="22" t="s">
        <v>105</v>
      </c>
      <c r="C108" s="22" t="s">
        <v>724</v>
      </c>
      <c r="D108" s="22" t="s">
        <v>574</v>
      </c>
      <c r="E108" s="22" t="s">
        <v>602</v>
      </c>
      <c r="F108" s="26" t="s">
        <v>136</v>
      </c>
      <c r="G108" s="26"/>
      <c r="H108" s="26"/>
      <c r="I108" s="26"/>
    </row>
    <row r="109" customFormat="false" ht="15" hidden="false" customHeight="false" outlineLevel="0" collapsed="false">
      <c r="A109" s="22" t="n">
        <v>108</v>
      </c>
      <c r="B109" s="22" t="s">
        <v>105</v>
      </c>
      <c r="C109" s="22" t="s">
        <v>725</v>
      </c>
      <c r="D109" s="22" t="s">
        <v>574</v>
      </c>
      <c r="E109" s="22" t="s">
        <v>606</v>
      </c>
      <c r="F109" s="26" t="s">
        <v>136</v>
      </c>
      <c r="G109" s="26"/>
      <c r="H109" s="26"/>
      <c r="I109" s="26"/>
    </row>
    <row r="110" customFormat="false" ht="15" hidden="false" customHeight="false" outlineLevel="0" collapsed="false">
      <c r="A110" s="22" t="n">
        <v>109</v>
      </c>
      <c r="B110" s="22" t="s">
        <v>105</v>
      </c>
      <c r="C110" s="22" t="s">
        <v>726</v>
      </c>
      <c r="D110" s="22" t="s">
        <v>574</v>
      </c>
      <c r="E110" s="22" t="s">
        <v>611</v>
      </c>
      <c r="F110" s="26" t="s">
        <v>136</v>
      </c>
      <c r="G110" s="26"/>
      <c r="H110" s="26"/>
      <c r="I110" s="26"/>
    </row>
    <row r="111" customFormat="false" ht="15" hidden="false" customHeight="false" outlineLevel="0" collapsed="false">
      <c r="A111" s="22" t="n">
        <v>110</v>
      </c>
      <c r="B111" s="22" t="s">
        <v>105</v>
      </c>
      <c r="C111" s="22" t="s">
        <v>727</v>
      </c>
      <c r="D111" s="22" t="s">
        <v>574</v>
      </c>
      <c r="E111" s="22" t="s">
        <v>613</v>
      </c>
      <c r="F111" s="26" t="s">
        <v>136</v>
      </c>
      <c r="G111" s="26"/>
      <c r="H111" s="26"/>
      <c r="I111" s="26"/>
    </row>
    <row r="112" customFormat="false" ht="15" hidden="false" customHeight="false" outlineLevel="0" collapsed="false">
      <c r="A112" s="22" t="n">
        <v>111</v>
      </c>
      <c r="B112" s="22" t="s">
        <v>105</v>
      </c>
      <c r="C112" s="22" t="s">
        <v>728</v>
      </c>
      <c r="D112" s="22" t="s">
        <v>583</v>
      </c>
      <c r="E112" s="22" t="s">
        <v>616</v>
      </c>
      <c r="F112" s="26" t="s">
        <v>136</v>
      </c>
      <c r="G112" s="26"/>
      <c r="H112" s="26"/>
      <c r="I112" s="26"/>
    </row>
    <row r="113" customFormat="false" ht="15" hidden="false" customHeight="false" outlineLevel="0" collapsed="false">
      <c r="A113" s="22" t="n">
        <v>112</v>
      </c>
      <c r="B113" s="22" t="s">
        <v>105</v>
      </c>
      <c r="C113" s="22" t="s">
        <v>729</v>
      </c>
      <c r="D113" s="22" t="s">
        <v>583</v>
      </c>
      <c r="E113" s="22" t="s">
        <v>625</v>
      </c>
      <c r="F113" s="26" t="s">
        <v>136</v>
      </c>
      <c r="G113" s="26"/>
      <c r="H113" s="26"/>
      <c r="I113" s="26"/>
    </row>
    <row r="114" customFormat="false" ht="15" hidden="false" customHeight="false" outlineLevel="0" collapsed="false">
      <c r="A114" s="22" t="n">
        <v>113</v>
      </c>
      <c r="B114" s="22" t="s">
        <v>105</v>
      </c>
      <c r="C114" s="22" t="s">
        <v>730</v>
      </c>
      <c r="D114" s="22" t="s">
        <v>583</v>
      </c>
      <c r="E114" s="22" t="s">
        <v>628</v>
      </c>
      <c r="F114" s="26" t="s">
        <v>136</v>
      </c>
      <c r="G114" s="26"/>
      <c r="H114" s="26"/>
      <c r="I114" s="26"/>
    </row>
    <row r="115" customFormat="false" ht="15" hidden="false" customHeight="false" outlineLevel="0" collapsed="false">
      <c r="A115" s="22" t="n">
        <v>114</v>
      </c>
      <c r="B115" s="22" t="s">
        <v>105</v>
      </c>
      <c r="C115" s="22" t="s">
        <v>731</v>
      </c>
      <c r="D115" s="22" t="s">
        <v>583</v>
      </c>
      <c r="E115" s="22" t="s">
        <v>631</v>
      </c>
      <c r="F115" s="26" t="s">
        <v>136</v>
      </c>
      <c r="G115" s="26"/>
      <c r="H115" s="26"/>
      <c r="I115" s="26"/>
    </row>
    <row r="116" customFormat="false" ht="15" hidden="false" customHeight="false" outlineLevel="0" collapsed="false">
      <c r="A116" s="22" t="n">
        <v>115</v>
      </c>
      <c r="B116" s="22" t="s">
        <v>105</v>
      </c>
      <c r="C116" s="22" t="s">
        <v>732</v>
      </c>
      <c r="D116" s="22" t="s">
        <v>583</v>
      </c>
      <c r="E116" s="22" t="s">
        <v>634</v>
      </c>
      <c r="F116" s="26" t="s">
        <v>136</v>
      </c>
      <c r="G116" s="26"/>
      <c r="H116" s="26"/>
      <c r="I116" s="26"/>
    </row>
    <row r="117" customFormat="false" ht="15" hidden="false" customHeight="false" outlineLevel="0" collapsed="false">
      <c r="A117" s="22" t="n">
        <v>116</v>
      </c>
      <c r="B117" s="22" t="s">
        <v>105</v>
      </c>
      <c r="C117" s="22" t="s">
        <v>733</v>
      </c>
      <c r="D117" s="22" t="s">
        <v>583</v>
      </c>
      <c r="E117" s="22" t="s">
        <v>734</v>
      </c>
      <c r="F117" s="26" t="s">
        <v>136</v>
      </c>
      <c r="G117" s="26"/>
      <c r="H117" s="26"/>
      <c r="I117" s="26"/>
    </row>
    <row r="118" customFormat="false" ht="15" hidden="false" customHeight="false" outlineLevel="0" collapsed="false">
      <c r="A118" s="22" t="n">
        <v>117</v>
      </c>
      <c r="B118" s="22" t="s">
        <v>105</v>
      </c>
      <c r="C118" s="22" t="s">
        <v>735</v>
      </c>
      <c r="D118" s="22" t="s">
        <v>620</v>
      </c>
      <c r="E118" s="22" t="s">
        <v>640</v>
      </c>
      <c r="F118" s="26" t="s">
        <v>136</v>
      </c>
      <c r="G118" s="26"/>
      <c r="H118" s="26"/>
      <c r="I118" s="26"/>
    </row>
    <row r="119" customFormat="false" ht="15" hidden="false" customHeight="false" outlineLevel="0" collapsed="false">
      <c r="A119" s="22" t="n">
        <v>118</v>
      </c>
      <c r="B119" s="22" t="s">
        <v>106</v>
      </c>
      <c r="C119" s="22" t="s">
        <v>736</v>
      </c>
      <c r="D119" s="22" t="s">
        <v>574</v>
      </c>
      <c r="E119" s="22" t="s">
        <v>737</v>
      </c>
      <c r="F119" s="26" t="s">
        <v>136</v>
      </c>
      <c r="G119" s="26"/>
      <c r="H119" s="26"/>
      <c r="I119" s="26"/>
    </row>
    <row r="120" customFormat="false" ht="15" hidden="false" customHeight="false" outlineLevel="0" collapsed="false">
      <c r="A120" s="22" t="n">
        <v>119</v>
      </c>
      <c r="B120" s="22" t="s">
        <v>106</v>
      </c>
      <c r="C120" s="22" t="s">
        <v>738</v>
      </c>
      <c r="D120" s="22" t="s">
        <v>574</v>
      </c>
      <c r="E120" s="22" t="s">
        <v>739</v>
      </c>
      <c r="F120" s="26" t="s">
        <v>136</v>
      </c>
      <c r="G120" s="26"/>
      <c r="H120" s="26"/>
      <c r="I120" s="26"/>
    </row>
    <row r="121" customFormat="false" ht="15" hidden="false" customHeight="false" outlineLevel="0" collapsed="false">
      <c r="A121" s="22" t="n">
        <v>120</v>
      </c>
      <c r="B121" s="22" t="s">
        <v>106</v>
      </c>
      <c r="C121" s="22" t="s">
        <v>740</v>
      </c>
      <c r="D121" s="22" t="s">
        <v>574</v>
      </c>
      <c r="E121" s="22" t="s">
        <v>739</v>
      </c>
      <c r="F121" s="26" t="s">
        <v>136</v>
      </c>
      <c r="G121" s="26"/>
      <c r="H121" s="26"/>
      <c r="I121" s="26"/>
    </row>
    <row r="122" customFormat="false" ht="15" hidden="false" customHeight="false" outlineLevel="0" collapsed="false">
      <c r="A122" s="22" t="n">
        <v>121</v>
      </c>
      <c r="B122" s="22" t="s">
        <v>106</v>
      </c>
      <c r="C122" s="22" t="s">
        <v>741</v>
      </c>
      <c r="D122" s="22" t="s">
        <v>574</v>
      </c>
      <c r="E122" s="22" t="s">
        <v>742</v>
      </c>
      <c r="F122" s="26" t="s">
        <v>136</v>
      </c>
      <c r="G122" s="26"/>
      <c r="H122" s="26"/>
      <c r="I122" s="26"/>
    </row>
    <row r="123" customFormat="false" ht="15" hidden="false" customHeight="false" outlineLevel="0" collapsed="false">
      <c r="A123" s="22" t="n">
        <v>122</v>
      </c>
      <c r="B123" s="22" t="s">
        <v>106</v>
      </c>
      <c r="C123" s="22" t="s">
        <v>743</v>
      </c>
      <c r="D123" s="22" t="s">
        <v>574</v>
      </c>
      <c r="E123" s="22" t="s">
        <v>742</v>
      </c>
      <c r="F123" s="26" t="s">
        <v>136</v>
      </c>
      <c r="G123" s="26"/>
      <c r="H123" s="26"/>
      <c r="I123" s="26"/>
    </row>
    <row r="124" customFormat="false" ht="15" hidden="false" customHeight="false" outlineLevel="0" collapsed="false">
      <c r="A124" s="22" t="n">
        <v>123</v>
      </c>
      <c r="B124" s="22" t="s">
        <v>106</v>
      </c>
      <c r="C124" s="22" t="s">
        <v>401</v>
      </c>
      <c r="D124" s="22" t="s">
        <v>574</v>
      </c>
      <c r="E124" s="22" t="s">
        <v>744</v>
      </c>
      <c r="F124" s="26" t="s">
        <v>136</v>
      </c>
      <c r="G124" s="26"/>
      <c r="H124" s="26"/>
      <c r="I124" s="26"/>
    </row>
    <row r="125" customFormat="false" ht="15" hidden="false" customHeight="false" outlineLevel="0" collapsed="false">
      <c r="A125" s="22" t="n">
        <v>124</v>
      </c>
      <c r="B125" s="22" t="s">
        <v>106</v>
      </c>
      <c r="C125" s="22" t="s">
        <v>745</v>
      </c>
      <c r="D125" s="22" t="s">
        <v>583</v>
      </c>
      <c r="E125" s="22" t="s">
        <v>746</v>
      </c>
      <c r="F125" s="26" t="s">
        <v>136</v>
      </c>
      <c r="G125" s="26"/>
      <c r="H125" s="26"/>
      <c r="I125" s="26"/>
    </row>
    <row r="126" customFormat="false" ht="15" hidden="false" customHeight="false" outlineLevel="0" collapsed="false">
      <c r="A126" s="22" t="n">
        <v>125</v>
      </c>
      <c r="B126" s="22" t="s">
        <v>106</v>
      </c>
      <c r="C126" s="22" t="s">
        <v>747</v>
      </c>
      <c r="D126" s="22" t="s">
        <v>574</v>
      </c>
      <c r="E126" s="22" t="s">
        <v>746</v>
      </c>
      <c r="F126" s="26" t="s">
        <v>136</v>
      </c>
      <c r="G126" s="26"/>
      <c r="H126" s="26"/>
      <c r="I126" s="26"/>
    </row>
    <row r="127" customFormat="false" ht="15" hidden="false" customHeight="false" outlineLevel="0" collapsed="false">
      <c r="A127" s="22" t="n">
        <v>126</v>
      </c>
      <c r="B127" s="22" t="s">
        <v>106</v>
      </c>
      <c r="C127" s="22" t="s">
        <v>748</v>
      </c>
      <c r="D127" s="22" t="s">
        <v>583</v>
      </c>
      <c r="E127" s="22" t="s">
        <v>640</v>
      </c>
      <c r="F127" s="26" t="s">
        <v>136</v>
      </c>
      <c r="G127" s="26"/>
      <c r="H127" s="26"/>
      <c r="I127" s="26"/>
    </row>
    <row r="128" customFormat="false" ht="15" hidden="false" customHeight="false" outlineLevel="0" collapsed="false">
      <c r="A128" s="22" t="n">
        <v>127</v>
      </c>
      <c r="B128" s="22" t="s">
        <v>106</v>
      </c>
      <c r="C128" s="22" t="s">
        <v>749</v>
      </c>
      <c r="D128" s="22" t="s">
        <v>583</v>
      </c>
      <c r="E128" s="22" t="s">
        <v>640</v>
      </c>
      <c r="F128" s="26" t="s">
        <v>136</v>
      </c>
      <c r="G128" s="26"/>
      <c r="H128" s="26"/>
      <c r="I128" s="26"/>
    </row>
    <row r="129" customFormat="false" ht="15" hidden="false" customHeight="false" outlineLevel="0" collapsed="false">
      <c r="A129" s="22" t="n">
        <v>128</v>
      </c>
      <c r="B129" s="22" t="s">
        <v>106</v>
      </c>
      <c r="C129" s="22" t="s">
        <v>750</v>
      </c>
      <c r="D129" s="22" t="s">
        <v>583</v>
      </c>
      <c r="E129" s="22" t="s">
        <v>675</v>
      </c>
      <c r="F129" s="26" t="s">
        <v>136</v>
      </c>
      <c r="G129" s="26"/>
      <c r="H129" s="26"/>
      <c r="I129" s="26"/>
    </row>
    <row r="130" customFormat="false" ht="15" hidden="false" customHeight="false" outlineLevel="0" collapsed="false">
      <c r="A130" s="22" t="n">
        <v>129</v>
      </c>
      <c r="B130" s="22" t="s">
        <v>107</v>
      </c>
      <c r="C130" s="22" t="s">
        <v>751</v>
      </c>
      <c r="D130" s="22" t="s">
        <v>574</v>
      </c>
      <c r="E130" s="22" t="s">
        <v>712</v>
      </c>
      <c r="F130" s="26" t="s">
        <v>136</v>
      </c>
      <c r="G130" s="26"/>
      <c r="H130" s="26"/>
      <c r="I130" s="26"/>
    </row>
    <row r="131" customFormat="false" ht="15" hidden="false" customHeight="false" outlineLevel="0" collapsed="false">
      <c r="A131" s="22" t="n">
        <v>130</v>
      </c>
      <c r="B131" s="22" t="s">
        <v>107</v>
      </c>
      <c r="C131" s="22" t="s">
        <v>752</v>
      </c>
      <c r="D131" s="22" t="s">
        <v>574</v>
      </c>
      <c r="E131" s="22" t="s">
        <v>753</v>
      </c>
      <c r="F131" s="26" t="s">
        <v>136</v>
      </c>
      <c r="G131" s="26"/>
      <c r="H131" s="26"/>
      <c r="I131" s="26"/>
    </row>
    <row r="132" customFormat="false" ht="15" hidden="false" customHeight="false" outlineLevel="0" collapsed="false">
      <c r="A132" s="22" t="n">
        <v>131</v>
      </c>
      <c r="B132" s="22" t="s">
        <v>107</v>
      </c>
      <c r="C132" s="22" t="s">
        <v>754</v>
      </c>
      <c r="D132" s="22" t="s">
        <v>574</v>
      </c>
      <c r="E132" s="22" t="s">
        <v>755</v>
      </c>
      <c r="F132" s="26" t="s">
        <v>136</v>
      </c>
      <c r="G132" s="26"/>
      <c r="H132" s="26"/>
      <c r="I132" s="26"/>
    </row>
    <row r="133" customFormat="false" ht="15" hidden="false" customHeight="false" outlineLevel="0" collapsed="false">
      <c r="A133" s="22" t="n">
        <v>132</v>
      </c>
      <c r="B133" s="22" t="s">
        <v>107</v>
      </c>
      <c r="C133" s="22" t="s">
        <v>756</v>
      </c>
      <c r="D133" s="22" t="s">
        <v>574</v>
      </c>
      <c r="E133" s="22" t="s">
        <v>757</v>
      </c>
      <c r="F133" s="26" t="s">
        <v>136</v>
      </c>
      <c r="G133" s="26"/>
      <c r="H133" s="26"/>
      <c r="I133" s="26"/>
    </row>
    <row r="134" customFormat="false" ht="15" hidden="false" customHeight="false" outlineLevel="0" collapsed="false">
      <c r="A134" s="22" t="n">
        <v>133</v>
      </c>
      <c r="B134" s="22" t="s">
        <v>107</v>
      </c>
      <c r="C134" s="22" t="s">
        <v>758</v>
      </c>
      <c r="D134" s="22" t="s">
        <v>574</v>
      </c>
      <c r="E134" s="22" t="s">
        <v>757</v>
      </c>
      <c r="F134" s="26" t="s">
        <v>136</v>
      </c>
      <c r="G134" s="26"/>
      <c r="H134" s="26"/>
      <c r="I134" s="26"/>
    </row>
    <row r="135" customFormat="false" ht="15" hidden="false" customHeight="false" outlineLevel="0" collapsed="false">
      <c r="A135" s="22" t="n">
        <v>134</v>
      </c>
      <c r="B135" s="22" t="s">
        <v>107</v>
      </c>
      <c r="C135" s="22" t="s">
        <v>759</v>
      </c>
      <c r="D135" s="22" t="s">
        <v>574</v>
      </c>
      <c r="E135" s="22" t="s">
        <v>755</v>
      </c>
      <c r="F135" s="26" t="s">
        <v>136</v>
      </c>
      <c r="G135" s="26"/>
      <c r="H135" s="26"/>
      <c r="I135" s="26"/>
    </row>
    <row r="136" customFormat="false" ht="15" hidden="false" customHeight="false" outlineLevel="0" collapsed="false">
      <c r="A136" s="22" t="n">
        <v>135</v>
      </c>
      <c r="B136" s="22" t="s">
        <v>107</v>
      </c>
      <c r="C136" s="22" t="s">
        <v>760</v>
      </c>
      <c r="D136" s="22" t="s">
        <v>574</v>
      </c>
      <c r="E136" s="22" t="s">
        <v>755</v>
      </c>
      <c r="F136" s="26" t="s">
        <v>136</v>
      </c>
      <c r="G136" s="26"/>
      <c r="H136" s="26"/>
      <c r="I136" s="26"/>
    </row>
    <row r="137" customFormat="false" ht="15" hidden="false" customHeight="false" outlineLevel="0" collapsed="false">
      <c r="A137" s="22" t="n">
        <v>136</v>
      </c>
      <c r="B137" s="22" t="s">
        <v>107</v>
      </c>
      <c r="C137" s="22" t="s">
        <v>761</v>
      </c>
      <c r="D137" s="22" t="s">
        <v>583</v>
      </c>
      <c r="E137" s="22" t="s">
        <v>757</v>
      </c>
      <c r="F137" s="26" t="s">
        <v>136</v>
      </c>
      <c r="G137" s="26"/>
      <c r="H137" s="26"/>
      <c r="I137" s="26"/>
    </row>
    <row r="138" customFormat="false" ht="15" hidden="false" customHeight="false" outlineLevel="0" collapsed="false">
      <c r="A138" s="22" t="n">
        <v>137</v>
      </c>
      <c r="B138" s="22" t="s">
        <v>107</v>
      </c>
      <c r="C138" s="22" t="s">
        <v>762</v>
      </c>
      <c r="D138" s="22" t="s">
        <v>574</v>
      </c>
      <c r="E138" s="22" t="s">
        <v>755</v>
      </c>
      <c r="F138" s="26" t="s">
        <v>136</v>
      </c>
      <c r="G138" s="26"/>
      <c r="H138" s="26"/>
      <c r="I138" s="26"/>
    </row>
    <row r="139" customFormat="false" ht="23.85" hidden="false" customHeight="false" outlineLevel="0" collapsed="false">
      <c r="A139" s="22" t="n">
        <v>138</v>
      </c>
      <c r="B139" s="22" t="s">
        <v>107</v>
      </c>
      <c r="C139" s="22" t="s">
        <v>763</v>
      </c>
      <c r="D139" s="22" t="s">
        <v>574</v>
      </c>
      <c r="E139" s="22" t="s">
        <v>764</v>
      </c>
      <c r="F139" s="26" t="s">
        <v>136</v>
      </c>
      <c r="G139" s="26"/>
      <c r="H139" s="26"/>
      <c r="I139" s="26"/>
    </row>
    <row r="141" customFormat="false" ht="15" hidden="false" customHeight="false" outlineLevel="0" collapsed="false">
      <c r="B141" s="16" t="s">
        <v>765</v>
      </c>
    </row>
    <row r="142" customFormat="false" ht="15" hidden="false" customHeight="false" outlineLevel="0" collapsed="false">
      <c r="B142" s="16" t="s">
        <v>766</v>
      </c>
    </row>
  </sheetData>
  <autoFilter ref="A1:I139"/>
  <conditionalFormatting sqref="F2:F139">
    <cfRule type="cellIs" priority="2" operator="equal" aboveAverage="0" equalAverage="0" bottom="0" percent="0" rank="0" text="" dxfId="4">
      <formula>"Completed"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true" errorStyle="stop" operator="between" showDropDown="false" showErrorMessage="false" showInputMessage="false" sqref="F2:F139" type="list">
      <formula1>"Not Started,In Progress,Blocked,Completed"</formula1>
      <formula2>0</formula2>
    </dataValidation>
    <dataValidation allowBlank="true" errorStyle="stop" operator="between" showDropDown="false" showErrorMessage="false" showInputMessage="false" sqref="G2:G139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9" min="4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4" t="s">
        <v>767</v>
      </c>
    </row>
    <row r="2" customFormat="false" ht="15" hidden="false" customHeight="false" outlineLevel="0" collapsed="false">
      <c r="A2" s="16" t="s">
        <v>768</v>
      </c>
    </row>
    <row r="3" customFormat="false" ht="33.75" hidden="false" customHeight="true" outlineLevel="0" collapsed="false">
      <c r="A3" s="21" t="s">
        <v>110</v>
      </c>
      <c r="B3" s="21" t="s">
        <v>769</v>
      </c>
      <c r="C3" s="21" t="s">
        <v>770</v>
      </c>
      <c r="D3" s="21" t="s">
        <v>771</v>
      </c>
      <c r="E3" s="21" t="s">
        <v>772</v>
      </c>
      <c r="F3" s="21" t="s">
        <v>773</v>
      </c>
      <c r="G3" s="21" t="s">
        <v>774</v>
      </c>
      <c r="H3" s="21" t="s">
        <v>775</v>
      </c>
      <c r="I3" s="21" t="s">
        <v>776</v>
      </c>
      <c r="J3" s="21" t="s">
        <v>777</v>
      </c>
      <c r="K3" s="21" t="s">
        <v>778</v>
      </c>
      <c r="L3" s="21" t="s">
        <v>779</v>
      </c>
      <c r="M3" s="21" t="s">
        <v>780</v>
      </c>
    </row>
    <row r="4" customFormat="false" ht="15" hidden="false" customHeight="false" outlineLevel="0" collapsed="false">
      <c r="A4" s="22" t="s">
        <v>137</v>
      </c>
      <c r="B4" s="22" t="s">
        <v>781</v>
      </c>
      <c r="C4" s="28" t="n">
        <v>15</v>
      </c>
      <c r="D4" s="28" t="n">
        <v>4</v>
      </c>
      <c r="E4" s="28"/>
      <c r="F4" s="28"/>
      <c r="G4" s="28"/>
      <c r="H4" s="28"/>
      <c r="I4" s="28"/>
      <c r="J4" s="22" t="str">
        <f aca="false">IF(I4&lt;&gt;"",I4,IF(H4&lt;&gt;"",H4,IF(G4&lt;&gt;"",G4,IF(F4&lt;&gt;"",F4,IF(E4&lt;&gt;"",E4,"")))))</f>
        <v/>
      </c>
      <c r="K4" s="22" t="str">
        <f aca="false">IF(J4="","",D4-J4)</f>
        <v/>
      </c>
      <c r="L4" s="22" t="str">
        <f aca="false">IF(J4="","Not assessed",IF(J4&gt;=D4,"Ready","Not yet"))</f>
        <v>Not assessed</v>
      </c>
      <c r="M4" s="23" t="n">
        <f aca="false">IF(J4="",0,MIN(J4,D4)/D4)</f>
        <v>0</v>
      </c>
    </row>
    <row r="5" customFormat="false" ht="15" hidden="false" customHeight="false" outlineLevel="0" collapsed="false">
      <c r="A5" s="22" t="s">
        <v>782</v>
      </c>
      <c r="B5" s="22" t="s">
        <v>781</v>
      </c>
      <c r="C5" s="28" t="n">
        <v>20</v>
      </c>
      <c r="D5" s="28" t="n">
        <v>4</v>
      </c>
      <c r="E5" s="28"/>
      <c r="F5" s="28"/>
      <c r="G5" s="28"/>
      <c r="H5" s="28"/>
      <c r="I5" s="28"/>
      <c r="J5" s="22" t="str">
        <f aca="false">IF(I5&lt;&gt;"",I5,IF(H5&lt;&gt;"",H5,IF(G5&lt;&gt;"",G5,IF(F5&lt;&gt;"",F5,IF(E5&lt;&gt;"",E5,"")))))</f>
        <v/>
      </c>
      <c r="K5" s="22" t="str">
        <f aca="false">IF(J5="","",D5-J5)</f>
        <v/>
      </c>
      <c r="L5" s="22" t="str">
        <f aca="false">IF(J5="","Not assessed",IF(J5&gt;=D5,"Ready","Not yet"))</f>
        <v>Not assessed</v>
      </c>
      <c r="M5" s="23" t="n">
        <f aca="false">IF(J5="",0,MIN(J5,D5)/D5)</f>
        <v>0</v>
      </c>
    </row>
    <row r="6" customFormat="false" ht="15" hidden="false" customHeight="false" outlineLevel="0" collapsed="false">
      <c r="A6" s="22" t="s">
        <v>249</v>
      </c>
      <c r="B6" s="22" t="s">
        <v>781</v>
      </c>
      <c r="C6" s="28" t="n">
        <v>8</v>
      </c>
      <c r="D6" s="28" t="n">
        <v>3</v>
      </c>
      <c r="E6" s="28"/>
      <c r="F6" s="28"/>
      <c r="G6" s="28"/>
      <c r="H6" s="28"/>
      <c r="I6" s="28"/>
      <c r="J6" s="22" t="str">
        <f aca="false">IF(I6&lt;&gt;"",I6,IF(H6&lt;&gt;"",H6,IF(G6&lt;&gt;"",G6,IF(F6&lt;&gt;"",F6,IF(E6&lt;&gt;"",E6,"")))))</f>
        <v/>
      </c>
      <c r="K6" s="22" t="str">
        <f aca="false">IF(J6="","",D6-J6)</f>
        <v/>
      </c>
      <c r="L6" s="22" t="str">
        <f aca="false">IF(J6="","Not assessed",IF(J6&gt;=D6,"Ready","Not yet"))</f>
        <v>Not assessed</v>
      </c>
      <c r="M6" s="23" t="n">
        <f aca="false">IF(J6="",0,MIN(J6,D6)/D6)</f>
        <v>0</v>
      </c>
    </row>
    <row r="7" customFormat="false" ht="15" hidden="false" customHeight="false" outlineLevel="0" collapsed="false">
      <c r="A7" s="22" t="s">
        <v>783</v>
      </c>
      <c r="B7" s="22" t="s">
        <v>784</v>
      </c>
      <c r="C7" s="28" t="n">
        <v>15</v>
      </c>
      <c r="D7" s="28" t="n">
        <v>4</v>
      </c>
      <c r="E7" s="28"/>
      <c r="F7" s="28"/>
      <c r="G7" s="28"/>
      <c r="H7" s="28"/>
      <c r="I7" s="28"/>
      <c r="J7" s="22" t="str">
        <f aca="false">IF(I7&lt;&gt;"",I7,IF(H7&lt;&gt;"",H7,IF(G7&lt;&gt;"",G7,IF(F7&lt;&gt;"",F7,IF(E7&lt;&gt;"",E7,"")))))</f>
        <v/>
      </c>
      <c r="K7" s="22" t="str">
        <f aca="false">IF(J7="","",D7-J7)</f>
        <v/>
      </c>
      <c r="L7" s="22" t="str">
        <f aca="false">IF(J7="","Not assessed",IF(J7&gt;=D7,"Ready","Not yet"))</f>
        <v>Not assessed</v>
      </c>
      <c r="M7" s="23" t="n">
        <f aca="false">IF(J7="",0,MIN(J7,D7)/D7)</f>
        <v>0</v>
      </c>
    </row>
    <row r="8" customFormat="false" ht="15" hidden="false" customHeight="false" outlineLevel="0" collapsed="false">
      <c r="A8" s="22" t="s">
        <v>785</v>
      </c>
      <c r="B8" s="22" t="s">
        <v>784</v>
      </c>
      <c r="C8" s="28" t="n">
        <v>10</v>
      </c>
      <c r="D8" s="28" t="n">
        <v>3</v>
      </c>
      <c r="E8" s="28"/>
      <c r="F8" s="28"/>
      <c r="G8" s="28"/>
      <c r="H8" s="28"/>
      <c r="I8" s="28"/>
      <c r="J8" s="22" t="str">
        <f aca="false">IF(I8&lt;&gt;"",I8,IF(H8&lt;&gt;"",H8,IF(G8&lt;&gt;"",G8,IF(F8&lt;&gt;"",F8,IF(E8&lt;&gt;"",E8,"")))))</f>
        <v/>
      </c>
      <c r="K8" s="22" t="str">
        <f aca="false">IF(J8="","",D8-J8)</f>
        <v/>
      </c>
      <c r="L8" s="22" t="str">
        <f aca="false">IF(J8="","Not assessed",IF(J8&gt;=D8,"Ready","Not yet"))</f>
        <v>Not assessed</v>
      </c>
      <c r="M8" s="23" t="n">
        <f aca="false">IF(J8="",0,MIN(J8,D8)/D8)</f>
        <v>0</v>
      </c>
    </row>
    <row r="9" customFormat="false" ht="15" hidden="false" customHeight="false" outlineLevel="0" collapsed="false">
      <c r="A9" s="22" t="s">
        <v>786</v>
      </c>
      <c r="B9" s="22" t="s">
        <v>787</v>
      </c>
      <c r="C9" s="28" t="n">
        <v>7</v>
      </c>
      <c r="D9" s="28" t="n">
        <v>3</v>
      </c>
      <c r="E9" s="28"/>
      <c r="F9" s="28"/>
      <c r="G9" s="28"/>
      <c r="H9" s="28"/>
      <c r="I9" s="28"/>
      <c r="J9" s="22" t="str">
        <f aca="false">IF(I9&lt;&gt;"",I9,IF(H9&lt;&gt;"",H9,IF(G9&lt;&gt;"",G9,IF(F9&lt;&gt;"",F9,IF(E9&lt;&gt;"",E9,"")))))</f>
        <v/>
      </c>
      <c r="K9" s="22" t="str">
        <f aca="false">IF(J9="","",D9-J9)</f>
        <v/>
      </c>
      <c r="L9" s="22" t="str">
        <f aca="false">IF(J9="","Not assessed",IF(J9&gt;=D9,"Ready","Not yet"))</f>
        <v>Not assessed</v>
      </c>
      <c r="M9" s="23" t="n">
        <f aca="false">IF(J9="",0,MIN(J9,D9)/D9)</f>
        <v>0</v>
      </c>
    </row>
    <row r="10" customFormat="false" ht="15" hidden="false" customHeight="false" outlineLevel="0" collapsed="false">
      <c r="A10" s="22" t="s">
        <v>418</v>
      </c>
      <c r="B10" s="22" t="s">
        <v>788</v>
      </c>
      <c r="C10" s="28" t="n">
        <v>10</v>
      </c>
      <c r="D10" s="28" t="n">
        <v>3</v>
      </c>
      <c r="E10" s="28"/>
      <c r="F10" s="28"/>
      <c r="G10" s="28"/>
      <c r="H10" s="28"/>
      <c r="I10" s="28"/>
      <c r="J10" s="22" t="str">
        <f aca="false">IF(I10&lt;&gt;"",I10,IF(H10&lt;&gt;"",H10,IF(G10&lt;&gt;"",G10,IF(F10&lt;&gt;"",F10,IF(E10&lt;&gt;"",E10,"")))))</f>
        <v/>
      </c>
      <c r="K10" s="22" t="str">
        <f aca="false">IF(J10="","",D10-J10)</f>
        <v/>
      </c>
      <c r="L10" s="22" t="str">
        <f aca="false">IF(J10="","Not assessed",IF(J10&gt;=D10,"Ready","Not yet"))</f>
        <v>Not assessed</v>
      </c>
      <c r="M10" s="23" t="n">
        <f aca="false">IF(J10="",0,MIN(J10,D10)/D10)</f>
        <v>0</v>
      </c>
    </row>
    <row r="11" customFormat="false" ht="15" hidden="false" customHeight="false" outlineLevel="0" collapsed="false">
      <c r="A11" s="22" t="s">
        <v>307</v>
      </c>
      <c r="B11" s="22" t="s">
        <v>789</v>
      </c>
      <c r="C11" s="28" t="n">
        <v>10</v>
      </c>
      <c r="D11" s="28" t="n">
        <v>3</v>
      </c>
      <c r="E11" s="28"/>
      <c r="F11" s="28"/>
      <c r="G11" s="28"/>
      <c r="H11" s="28"/>
      <c r="I11" s="28"/>
      <c r="J11" s="22" t="str">
        <f aca="false">IF(I11&lt;&gt;"",I11,IF(H11&lt;&gt;"",H11,IF(G11&lt;&gt;"",G11,IF(F11&lt;&gt;"",F11,IF(E11&lt;&gt;"",E11,"")))))</f>
        <v/>
      </c>
      <c r="K11" s="22" t="str">
        <f aca="false">IF(J11="","",D11-J11)</f>
        <v/>
      </c>
      <c r="L11" s="22" t="str">
        <f aca="false">IF(J11="","Not assessed",IF(J11&gt;=D11,"Ready","Not yet"))</f>
        <v>Not assessed</v>
      </c>
      <c r="M11" s="23" t="n">
        <f aca="false">IF(J11="",0,MIN(J11,D11)/D11)</f>
        <v>0</v>
      </c>
    </row>
    <row r="12" customFormat="false" ht="23.85" hidden="false" customHeight="false" outlineLevel="0" collapsed="false">
      <c r="A12" s="22" t="s">
        <v>437</v>
      </c>
      <c r="B12" s="22" t="s">
        <v>790</v>
      </c>
      <c r="C12" s="28" t="n">
        <v>5</v>
      </c>
      <c r="D12" s="28" t="n">
        <v>4</v>
      </c>
      <c r="E12" s="28"/>
      <c r="F12" s="28"/>
      <c r="G12" s="28"/>
      <c r="H12" s="28"/>
      <c r="I12" s="28"/>
      <c r="J12" s="22" t="str">
        <f aca="false">IF(I12&lt;&gt;"",I12,IF(H12&lt;&gt;"",H12,IF(G12&lt;&gt;"",G12,IF(F12&lt;&gt;"",F12,IF(E12&lt;&gt;"",E12,"")))))</f>
        <v/>
      </c>
      <c r="K12" s="22" t="str">
        <f aca="false">IF(J12="","",D12-J12)</f>
        <v/>
      </c>
      <c r="L12" s="22" t="str">
        <f aca="false">IF(J12="","Not assessed",IF(J12&gt;=D12,"Ready","Not yet"))</f>
        <v>Not assessed</v>
      </c>
      <c r="M12" s="23" t="n">
        <f aca="false">IF(J12="",0,MIN(J12,D12)/D12)</f>
        <v>0</v>
      </c>
    </row>
    <row r="14" customFormat="false" ht="15" hidden="false" customHeight="false" outlineLevel="0" collapsed="false">
      <c r="A14" s="13" t="s">
        <v>82</v>
      </c>
      <c r="C14" s="13" t="n">
        <f aca="false">SUM(C4:C12)</f>
        <v>100</v>
      </c>
      <c r="M14" s="31" t="n">
        <f aca="false">IFERROR(SUMPRODUCT(C4:C12,M4:M12)/C14,0)</f>
        <v>0</v>
      </c>
    </row>
    <row r="15" customFormat="false" ht="15" hidden="false" customHeight="false" outlineLevel="0" collapsed="false">
      <c r="A15" s="16" t="s">
        <v>791</v>
      </c>
    </row>
    <row r="17" customFormat="false" ht="33.75" hidden="false" customHeight="true" outlineLevel="0" collapsed="false">
      <c r="A17" s="21" t="s">
        <v>792</v>
      </c>
      <c r="B17" s="21" t="s">
        <v>793</v>
      </c>
      <c r="C17" s="21"/>
      <c r="D17" s="21" t="s">
        <v>794</v>
      </c>
      <c r="E17" s="21"/>
      <c r="F17" s="21"/>
      <c r="G17" s="21"/>
      <c r="H17" s="21"/>
      <c r="I17" s="21"/>
      <c r="J17" s="21"/>
      <c r="K17" s="21"/>
      <c r="L17" s="21"/>
      <c r="M17" s="21"/>
    </row>
    <row r="18" customFormat="false" ht="57.45" hidden="false" customHeight="false" outlineLevel="0" collapsed="false">
      <c r="A18" s="22" t="n">
        <v>1</v>
      </c>
      <c r="B18" s="22" t="s">
        <v>795</v>
      </c>
      <c r="C18" s="22"/>
      <c r="D18" s="22" t="s">
        <v>796</v>
      </c>
      <c r="E18" s="22"/>
      <c r="F18" s="22"/>
      <c r="G18" s="22"/>
      <c r="H18" s="22"/>
      <c r="I18" s="22"/>
      <c r="J18" s="22"/>
      <c r="K18" s="22"/>
      <c r="L18" s="22"/>
      <c r="M18" s="22"/>
    </row>
    <row r="19" customFormat="false" ht="57.45" hidden="false" customHeight="false" outlineLevel="0" collapsed="false">
      <c r="A19" s="22" t="n">
        <v>2</v>
      </c>
      <c r="B19" s="22" t="s">
        <v>797</v>
      </c>
      <c r="C19" s="22"/>
      <c r="D19" s="22" t="s">
        <v>798</v>
      </c>
      <c r="E19" s="22"/>
      <c r="F19" s="22"/>
      <c r="G19" s="22"/>
      <c r="H19" s="22"/>
      <c r="I19" s="22"/>
      <c r="J19" s="22"/>
      <c r="K19" s="22"/>
      <c r="L19" s="22"/>
      <c r="M19" s="22"/>
    </row>
    <row r="20" customFormat="false" ht="57.45" hidden="false" customHeight="false" outlineLevel="0" collapsed="false">
      <c r="A20" s="22" t="n">
        <v>3</v>
      </c>
      <c r="B20" s="22" t="s">
        <v>799</v>
      </c>
      <c r="C20" s="22"/>
      <c r="D20" s="22" t="s">
        <v>800</v>
      </c>
      <c r="E20" s="22"/>
      <c r="F20" s="22"/>
      <c r="G20" s="22"/>
      <c r="H20" s="22"/>
      <c r="I20" s="22"/>
      <c r="J20" s="22"/>
      <c r="K20" s="22"/>
      <c r="L20" s="22"/>
      <c r="M20" s="22"/>
    </row>
    <row r="21" customFormat="false" ht="113.4" hidden="false" customHeight="false" outlineLevel="0" collapsed="false">
      <c r="A21" s="22" t="n">
        <v>4</v>
      </c>
      <c r="B21" s="22" t="s">
        <v>801</v>
      </c>
      <c r="C21" s="22"/>
      <c r="D21" s="22" t="s">
        <v>802</v>
      </c>
      <c r="E21" s="22"/>
      <c r="F21" s="22"/>
      <c r="G21" s="22"/>
      <c r="H21" s="22"/>
      <c r="I21" s="22"/>
      <c r="J21" s="22"/>
      <c r="K21" s="22"/>
      <c r="L21" s="22"/>
      <c r="M21" s="22"/>
    </row>
    <row r="22" customFormat="false" ht="102.2" hidden="false" customHeight="false" outlineLevel="0" collapsed="false">
      <c r="A22" s="22" t="n">
        <v>5</v>
      </c>
      <c r="B22" s="22" t="s">
        <v>803</v>
      </c>
      <c r="C22" s="22"/>
      <c r="D22" s="22" t="s">
        <v>804</v>
      </c>
      <c r="E22" s="22"/>
      <c r="F22" s="22"/>
      <c r="G22" s="22"/>
      <c r="H22" s="22"/>
      <c r="I22" s="22"/>
      <c r="J22" s="22"/>
      <c r="K22" s="22"/>
      <c r="L22" s="22"/>
      <c r="M22" s="22"/>
    </row>
    <row r="24" customFormat="false" ht="15" hidden="false" customHeight="false" outlineLevel="0" collapsed="false">
      <c r="A24" s="16" t="s">
        <v>805</v>
      </c>
    </row>
  </sheetData>
  <conditionalFormatting sqref="L4:L12">
    <cfRule type="cellIs" priority="2" operator="equal" aboveAverage="0" equalAverage="0" bottom="0" percent="0" rank="0" text="" dxfId="4">
      <formula>"Ready"</formula>
    </cfRule>
    <cfRule type="cellIs" priority="3" operator="equal" aboveAverage="0" equalAverage="0" bottom="0" percent="0" rank="0" text="" dxfId="6">
      <formula>"Not yet"</formula>
    </cfRule>
  </conditionalFormatting>
  <dataValidations count="1">
    <dataValidation allowBlank="true" errorStyle="stop" operator="between" showDropDown="false" showErrorMessage="false" showInputMessage="false" sqref="E4:I1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5" min="12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36"/>
  </cols>
  <sheetData>
    <row r="1" customFormat="false" ht="33.75" hidden="false" customHeight="true" outlineLevel="0" collapsed="false">
      <c r="A1" s="21" t="s">
        <v>806</v>
      </c>
      <c r="B1" s="21" t="s">
        <v>109</v>
      </c>
      <c r="C1" s="21" t="s">
        <v>807</v>
      </c>
      <c r="D1" s="21" t="s">
        <v>808</v>
      </c>
      <c r="E1" s="21" t="s">
        <v>809</v>
      </c>
      <c r="F1" s="21" t="s">
        <v>810</v>
      </c>
      <c r="G1" s="21" t="s">
        <v>811</v>
      </c>
      <c r="H1" s="21" t="s">
        <v>812</v>
      </c>
      <c r="I1" s="21" t="s">
        <v>813</v>
      </c>
      <c r="J1" s="21" t="s">
        <v>814</v>
      </c>
      <c r="K1" s="21" t="s">
        <v>815</v>
      </c>
      <c r="L1" s="21" t="s">
        <v>816</v>
      </c>
      <c r="M1" s="21" t="s">
        <v>817</v>
      </c>
      <c r="N1" s="21" t="s">
        <v>818</v>
      </c>
      <c r="O1" s="21" t="s">
        <v>819</v>
      </c>
      <c r="P1" s="21" t="s">
        <v>820</v>
      </c>
      <c r="Q1" s="21" t="s">
        <v>821</v>
      </c>
      <c r="R1" s="21" t="s">
        <v>822</v>
      </c>
    </row>
    <row r="2" customFormat="false" ht="15" hidden="false" customHeight="false" outlineLevel="0" collapsed="false">
      <c r="A2" s="32" t="n">
        <v>1</v>
      </c>
      <c r="B2" s="33" t="n">
        <v>46027</v>
      </c>
      <c r="C2" s="34" t="s">
        <v>823</v>
      </c>
      <c r="D2" s="34" t="s">
        <v>824</v>
      </c>
      <c r="E2" s="34" t="s">
        <v>825</v>
      </c>
      <c r="F2" s="34" t="s">
        <v>826</v>
      </c>
      <c r="G2" s="34" t="s">
        <v>827</v>
      </c>
      <c r="H2" s="34" t="s">
        <v>827</v>
      </c>
      <c r="I2" s="34" t="s">
        <v>827</v>
      </c>
      <c r="J2" s="34" t="n">
        <v>12</v>
      </c>
      <c r="K2" s="34" t="s">
        <v>827</v>
      </c>
      <c r="L2" s="35" t="n">
        <f aca="false">IF($B2="","",$B2+1)</f>
        <v>46028</v>
      </c>
      <c r="M2" s="35" t="n">
        <f aca="false">IF($B2="","",$B2+3)</f>
        <v>46030</v>
      </c>
      <c r="N2" s="35" t="n">
        <f aca="false">IF($B2="","",$B2+7)</f>
        <v>46034</v>
      </c>
      <c r="O2" s="35" t="n">
        <f aca="false">IF($B2="","",$B2+21)</f>
        <v>46048</v>
      </c>
      <c r="P2" s="34" t="n">
        <v>0</v>
      </c>
      <c r="Q2" s="35" t="n">
        <f aca="false">IF($B2="","",IF(P2&gt;=4,"Done",CHOOSE(P2+1,L2,M2,N2,O2)))</f>
        <v>46028</v>
      </c>
      <c r="R2" s="32"/>
    </row>
    <row r="3" customFormat="false" ht="15" hidden="false" customHeight="false" outlineLevel="0" collapsed="false">
      <c r="A3" s="22" t="n">
        <v>2</v>
      </c>
      <c r="B3" s="25"/>
      <c r="C3" s="22"/>
      <c r="D3" s="22"/>
      <c r="E3" s="22"/>
      <c r="F3" s="22"/>
      <c r="G3" s="22"/>
      <c r="H3" s="22"/>
      <c r="I3" s="22"/>
      <c r="J3" s="22"/>
      <c r="K3" s="22"/>
      <c r="L3" s="25" t="str">
        <f aca="false">IF($B3="","",$B3+1)</f>
        <v/>
      </c>
      <c r="M3" s="25" t="str">
        <f aca="false">IF($B3="","",$B3+3)</f>
        <v/>
      </c>
      <c r="N3" s="25" t="str">
        <f aca="false">IF($B3="","",$B3+7)</f>
        <v/>
      </c>
      <c r="O3" s="25" t="str">
        <f aca="false">IF($B3="","",$B3+21)</f>
        <v/>
      </c>
      <c r="P3" s="22"/>
      <c r="Q3" s="25" t="str">
        <f aca="false">IF($B3="","",IF(P3&gt;=4,"Done",CHOOSE(P3+1,L3,M3,N3,O3)))</f>
        <v/>
      </c>
      <c r="R3" s="22"/>
    </row>
    <row r="4" customFormat="false" ht="15" hidden="false" customHeight="false" outlineLevel="0" collapsed="false">
      <c r="A4" s="22" t="n">
        <v>3</v>
      </c>
      <c r="B4" s="25"/>
      <c r="C4" s="22"/>
      <c r="D4" s="22"/>
      <c r="E4" s="22"/>
      <c r="F4" s="22"/>
      <c r="G4" s="22"/>
      <c r="H4" s="22"/>
      <c r="I4" s="22"/>
      <c r="J4" s="22"/>
      <c r="K4" s="22"/>
      <c r="L4" s="25" t="str">
        <f aca="false">IF($B4="","",$B4+1)</f>
        <v/>
      </c>
      <c r="M4" s="25" t="str">
        <f aca="false">IF($B4="","",$B4+3)</f>
        <v/>
      </c>
      <c r="N4" s="25" t="str">
        <f aca="false">IF($B4="","",$B4+7)</f>
        <v/>
      </c>
      <c r="O4" s="25" t="str">
        <f aca="false">IF($B4="","",$B4+21)</f>
        <v/>
      </c>
      <c r="P4" s="22"/>
      <c r="Q4" s="25" t="str">
        <f aca="false">IF($B4="","",IF(P4&gt;=4,"Done",CHOOSE(P4+1,L4,M4,N4,O4)))</f>
        <v/>
      </c>
      <c r="R4" s="22"/>
    </row>
    <row r="5" customFormat="false" ht="15" hidden="false" customHeight="false" outlineLevel="0" collapsed="false">
      <c r="A5" s="22" t="n">
        <v>4</v>
      </c>
      <c r="B5" s="25"/>
      <c r="C5" s="22"/>
      <c r="D5" s="22"/>
      <c r="E5" s="22"/>
      <c r="F5" s="22"/>
      <c r="G5" s="22"/>
      <c r="H5" s="22"/>
      <c r="I5" s="22"/>
      <c r="J5" s="22"/>
      <c r="K5" s="22"/>
      <c r="L5" s="25" t="str">
        <f aca="false">IF($B5="","",$B5+1)</f>
        <v/>
      </c>
      <c r="M5" s="25" t="str">
        <f aca="false">IF($B5="","",$B5+3)</f>
        <v/>
      </c>
      <c r="N5" s="25" t="str">
        <f aca="false">IF($B5="","",$B5+7)</f>
        <v/>
      </c>
      <c r="O5" s="25" t="str">
        <f aca="false">IF($B5="","",$B5+21)</f>
        <v/>
      </c>
      <c r="P5" s="22"/>
      <c r="Q5" s="25" t="str">
        <f aca="false">IF($B5="","",IF(P5&gt;=4,"Done",CHOOSE(P5+1,L5,M5,N5,O5)))</f>
        <v/>
      </c>
      <c r="R5" s="22"/>
    </row>
    <row r="6" customFormat="false" ht="15" hidden="false" customHeight="false" outlineLevel="0" collapsed="false">
      <c r="A6" s="22" t="n">
        <v>5</v>
      </c>
      <c r="B6" s="25"/>
      <c r="C6" s="22"/>
      <c r="D6" s="22"/>
      <c r="E6" s="22"/>
      <c r="F6" s="22"/>
      <c r="G6" s="22"/>
      <c r="H6" s="22"/>
      <c r="I6" s="22"/>
      <c r="J6" s="22"/>
      <c r="K6" s="22"/>
      <c r="L6" s="25" t="str">
        <f aca="false">IF($B6="","",$B6+1)</f>
        <v/>
      </c>
      <c r="M6" s="25" t="str">
        <f aca="false">IF($B6="","",$B6+3)</f>
        <v/>
      </c>
      <c r="N6" s="25" t="str">
        <f aca="false">IF($B6="","",$B6+7)</f>
        <v/>
      </c>
      <c r="O6" s="25" t="str">
        <f aca="false">IF($B6="","",$B6+21)</f>
        <v/>
      </c>
      <c r="P6" s="22"/>
      <c r="Q6" s="25" t="str">
        <f aca="false">IF($B6="","",IF(P6&gt;=4,"Done",CHOOSE(P6+1,L6,M6,N6,O6)))</f>
        <v/>
      </c>
      <c r="R6" s="22"/>
    </row>
    <row r="7" customFormat="false" ht="15" hidden="false" customHeight="false" outlineLevel="0" collapsed="false">
      <c r="A7" s="22" t="n">
        <v>6</v>
      </c>
      <c r="B7" s="25"/>
      <c r="C7" s="22"/>
      <c r="D7" s="22"/>
      <c r="E7" s="22"/>
      <c r="F7" s="22"/>
      <c r="G7" s="22"/>
      <c r="H7" s="22"/>
      <c r="I7" s="22"/>
      <c r="J7" s="22"/>
      <c r="K7" s="22"/>
      <c r="L7" s="25" t="str">
        <f aca="false">IF($B7="","",$B7+1)</f>
        <v/>
      </c>
      <c r="M7" s="25" t="str">
        <f aca="false">IF($B7="","",$B7+3)</f>
        <v/>
      </c>
      <c r="N7" s="25" t="str">
        <f aca="false">IF($B7="","",$B7+7)</f>
        <v/>
      </c>
      <c r="O7" s="25" t="str">
        <f aca="false">IF($B7="","",$B7+21)</f>
        <v/>
      </c>
      <c r="P7" s="22"/>
      <c r="Q7" s="25" t="str">
        <f aca="false">IF($B7="","",IF(P7&gt;=4,"Done",CHOOSE(P7+1,L7,M7,N7,O7)))</f>
        <v/>
      </c>
      <c r="R7" s="22"/>
    </row>
    <row r="8" customFormat="false" ht="15" hidden="false" customHeight="false" outlineLevel="0" collapsed="false">
      <c r="A8" s="22" t="n">
        <v>7</v>
      </c>
      <c r="B8" s="25"/>
      <c r="C8" s="22"/>
      <c r="D8" s="22"/>
      <c r="E8" s="22"/>
      <c r="F8" s="22"/>
      <c r="G8" s="22"/>
      <c r="H8" s="22"/>
      <c r="I8" s="22"/>
      <c r="J8" s="22"/>
      <c r="K8" s="22"/>
      <c r="L8" s="25" t="str">
        <f aca="false">IF($B8="","",$B8+1)</f>
        <v/>
      </c>
      <c r="M8" s="25" t="str">
        <f aca="false">IF($B8="","",$B8+3)</f>
        <v/>
      </c>
      <c r="N8" s="25" t="str">
        <f aca="false">IF($B8="","",$B8+7)</f>
        <v/>
      </c>
      <c r="O8" s="25" t="str">
        <f aca="false">IF($B8="","",$B8+21)</f>
        <v/>
      </c>
      <c r="P8" s="22"/>
      <c r="Q8" s="25" t="str">
        <f aca="false">IF($B8="","",IF(P8&gt;=4,"Done",CHOOSE(P8+1,L8,M8,N8,O8)))</f>
        <v/>
      </c>
      <c r="R8" s="22"/>
    </row>
    <row r="9" customFormat="false" ht="15" hidden="false" customHeight="false" outlineLevel="0" collapsed="false">
      <c r="A9" s="22" t="n">
        <v>8</v>
      </c>
      <c r="B9" s="25"/>
      <c r="C9" s="22"/>
      <c r="D9" s="22"/>
      <c r="E9" s="22"/>
      <c r="F9" s="22"/>
      <c r="G9" s="22"/>
      <c r="H9" s="22"/>
      <c r="I9" s="22"/>
      <c r="J9" s="22"/>
      <c r="K9" s="22"/>
      <c r="L9" s="25" t="str">
        <f aca="false">IF($B9="","",$B9+1)</f>
        <v/>
      </c>
      <c r="M9" s="25" t="str">
        <f aca="false">IF($B9="","",$B9+3)</f>
        <v/>
      </c>
      <c r="N9" s="25" t="str">
        <f aca="false">IF($B9="","",$B9+7)</f>
        <v/>
      </c>
      <c r="O9" s="25" t="str">
        <f aca="false">IF($B9="","",$B9+21)</f>
        <v/>
      </c>
      <c r="P9" s="22"/>
      <c r="Q9" s="25" t="str">
        <f aca="false">IF($B9="","",IF(P9&gt;=4,"Done",CHOOSE(P9+1,L9,M9,N9,O9)))</f>
        <v/>
      </c>
      <c r="R9" s="22"/>
    </row>
    <row r="10" customFormat="false" ht="15" hidden="false" customHeight="false" outlineLevel="0" collapsed="false">
      <c r="A10" s="22" t="n">
        <v>9</v>
      </c>
      <c r="B10" s="25"/>
      <c r="C10" s="22"/>
      <c r="D10" s="22"/>
      <c r="E10" s="22"/>
      <c r="F10" s="22"/>
      <c r="G10" s="22"/>
      <c r="H10" s="22"/>
      <c r="I10" s="22"/>
      <c r="J10" s="22"/>
      <c r="K10" s="22"/>
      <c r="L10" s="25" t="str">
        <f aca="false">IF($B10="","",$B10+1)</f>
        <v/>
      </c>
      <c r="M10" s="25" t="str">
        <f aca="false">IF($B10="","",$B10+3)</f>
        <v/>
      </c>
      <c r="N10" s="25" t="str">
        <f aca="false">IF($B10="","",$B10+7)</f>
        <v/>
      </c>
      <c r="O10" s="25" t="str">
        <f aca="false">IF($B10="","",$B10+21)</f>
        <v/>
      </c>
      <c r="P10" s="22"/>
      <c r="Q10" s="25" t="str">
        <f aca="false">IF($B10="","",IF(P10&gt;=4,"Done",CHOOSE(P10+1,L10,M10,N10,O10)))</f>
        <v/>
      </c>
      <c r="R10" s="22"/>
    </row>
    <row r="11" customFormat="false" ht="15" hidden="false" customHeight="false" outlineLevel="0" collapsed="false">
      <c r="A11" s="22" t="n">
        <v>10</v>
      </c>
      <c r="B11" s="25"/>
      <c r="C11" s="22"/>
      <c r="D11" s="22"/>
      <c r="E11" s="22"/>
      <c r="F11" s="22"/>
      <c r="G11" s="22"/>
      <c r="H11" s="22"/>
      <c r="I11" s="22"/>
      <c r="J11" s="22"/>
      <c r="K11" s="22"/>
      <c r="L11" s="25" t="str">
        <f aca="false">IF($B11="","",$B11+1)</f>
        <v/>
      </c>
      <c r="M11" s="25" t="str">
        <f aca="false">IF($B11="","",$B11+3)</f>
        <v/>
      </c>
      <c r="N11" s="25" t="str">
        <f aca="false">IF($B11="","",$B11+7)</f>
        <v/>
      </c>
      <c r="O11" s="25" t="str">
        <f aca="false">IF($B11="","",$B11+21)</f>
        <v/>
      </c>
      <c r="P11" s="22"/>
      <c r="Q11" s="25" t="str">
        <f aca="false">IF($B11="","",IF(P11&gt;=4,"Done",CHOOSE(P11+1,L11,M11,N11,O11)))</f>
        <v/>
      </c>
      <c r="R11" s="22"/>
    </row>
    <row r="12" customFormat="false" ht="15" hidden="false" customHeight="false" outlineLevel="0" collapsed="false">
      <c r="A12" s="22" t="n">
        <v>11</v>
      </c>
      <c r="B12" s="25"/>
      <c r="C12" s="22"/>
      <c r="D12" s="22"/>
      <c r="E12" s="22"/>
      <c r="F12" s="22"/>
      <c r="G12" s="22"/>
      <c r="H12" s="22"/>
      <c r="I12" s="22"/>
      <c r="J12" s="22"/>
      <c r="K12" s="22"/>
      <c r="L12" s="25" t="str">
        <f aca="false">IF($B12="","",$B12+1)</f>
        <v/>
      </c>
      <c r="M12" s="25" t="str">
        <f aca="false">IF($B12="","",$B12+3)</f>
        <v/>
      </c>
      <c r="N12" s="25" t="str">
        <f aca="false">IF($B12="","",$B12+7)</f>
        <v/>
      </c>
      <c r="O12" s="25" t="str">
        <f aca="false">IF($B12="","",$B12+21)</f>
        <v/>
      </c>
      <c r="P12" s="22"/>
      <c r="Q12" s="25" t="str">
        <f aca="false">IF($B12="","",IF(P12&gt;=4,"Done",CHOOSE(P12+1,L12,M12,N12,O12)))</f>
        <v/>
      </c>
      <c r="R12" s="22"/>
    </row>
    <row r="13" customFormat="false" ht="15" hidden="false" customHeight="false" outlineLevel="0" collapsed="false">
      <c r="A13" s="22" t="n">
        <v>12</v>
      </c>
      <c r="B13" s="25"/>
      <c r="C13" s="22"/>
      <c r="D13" s="22"/>
      <c r="E13" s="22"/>
      <c r="F13" s="22"/>
      <c r="G13" s="22"/>
      <c r="H13" s="22"/>
      <c r="I13" s="22"/>
      <c r="J13" s="22"/>
      <c r="K13" s="22"/>
      <c r="L13" s="25" t="str">
        <f aca="false">IF($B13="","",$B13+1)</f>
        <v/>
      </c>
      <c r="M13" s="25" t="str">
        <f aca="false">IF($B13="","",$B13+3)</f>
        <v/>
      </c>
      <c r="N13" s="25" t="str">
        <f aca="false">IF($B13="","",$B13+7)</f>
        <v/>
      </c>
      <c r="O13" s="25" t="str">
        <f aca="false">IF($B13="","",$B13+21)</f>
        <v/>
      </c>
      <c r="P13" s="22"/>
      <c r="Q13" s="25" t="str">
        <f aca="false">IF($B13="","",IF(P13&gt;=4,"Done",CHOOSE(P13+1,L13,M13,N13,O13)))</f>
        <v/>
      </c>
      <c r="R13" s="22"/>
    </row>
    <row r="14" customFormat="false" ht="15" hidden="false" customHeight="false" outlineLevel="0" collapsed="false">
      <c r="A14" s="22" t="n">
        <v>13</v>
      </c>
      <c r="B14" s="25"/>
      <c r="C14" s="22"/>
      <c r="D14" s="22"/>
      <c r="E14" s="22"/>
      <c r="F14" s="22"/>
      <c r="G14" s="22"/>
      <c r="H14" s="22"/>
      <c r="I14" s="22"/>
      <c r="J14" s="22"/>
      <c r="K14" s="22"/>
      <c r="L14" s="25" t="str">
        <f aca="false">IF($B14="","",$B14+1)</f>
        <v/>
      </c>
      <c r="M14" s="25" t="str">
        <f aca="false">IF($B14="","",$B14+3)</f>
        <v/>
      </c>
      <c r="N14" s="25" t="str">
        <f aca="false">IF($B14="","",$B14+7)</f>
        <v/>
      </c>
      <c r="O14" s="25" t="str">
        <f aca="false">IF($B14="","",$B14+21)</f>
        <v/>
      </c>
      <c r="P14" s="22"/>
      <c r="Q14" s="25" t="str">
        <f aca="false">IF($B14="","",IF(P14&gt;=4,"Done",CHOOSE(P14+1,L14,M14,N14,O14)))</f>
        <v/>
      </c>
      <c r="R14" s="22"/>
    </row>
    <row r="15" customFormat="false" ht="15" hidden="false" customHeight="false" outlineLevel="0" collapsed="false">
      <c r="A15" s="22" t="n">
        <v>14</v>
      </c>
      <c r="B15" s="25"/>
      <c r="C15" s="22"/>
      <c r="D15" s="22"/>
      <c r="E15" s="22"/>
      <c r="F15" s="22"/>
      <c r="G15" s="22"/>
      <c r="H15" s="22"/>
      <c r="I15" s="22"/>
      <c r="J15" s="22"/>
      <c r="K15" s="22"/>
      <c r="L15" s="25" t="str">
        <f aca="false">IF($B15="","",$B15+1)</f>
        <v/>
      </c>
      <c r="M15" s="25" t="str">
        <f aca="false">IF($B15="","",$B15+3)</f>
        <v/>
      </c>
      <c r="N15" s="25" t="str">
        <f aca="false">IF($B15="","",$B15+7)</f>
        <v/>
      </c>
      <c r="O15" s="25" t="str">
        <f aca="false">IF($B15="","",$B15+21)</f>
        <v/>
      </c>
      <c r="P15" s="22"/>
      <c r="Q15" s="25" t="str">
        <f aca="false">IF($B15="","",IF(P15&gt;=4,"Done",CHOOSE(P15+1,L15,M15,N15,O15)))</f>
        <v/>
      </c>
      <c r="R15" s="22"/>
    </row>
    <row r="16" customFormat="false" ht="15" hidden="false" customHeight="false" outlineLevel="0" collapsed="false">
      <c r="A16" s="22" t="n">
        <v>15</v>
      </c>
      <c r="B16" s="25"/>
      <c r="C16" s="22"/>
      <c r="D16" s="22"/>
      <c r="E16" s="22"/>
      <c r="F16" s="22"/>
      <c r="G16" s="22"/>
      <c r="H16" s="22"/>
      <c r="I16" s="22"/>
      <c r="J16" s="22"/>
      <c r="K16" s="22"/>
      <c r="L16" s="25" t="str">
        <f aca="false">IF($B16="","",$B16+1)</f>
        <v/>
      </c>
      <c r="M16" s="25" t="str">
        <f aca="false">IF($B16="","",$B16+3)</f>
        <v/>
      </c>
      <c r="N16" s="25" t="str">
        <f aca="false">IF($B16="","",$B16+7)</f>
        <v/>
      </c>
      <c r="O16" s="25" t="str">
        <f aca="false">IF($B16="","",$B16+21)</f>
        <v/>
      </c>
      <c r="P16" s="22"/>
      <c r="Q16" s="25" t="str">
        <f aca="false">IF($B16="","",IF(P16&gt;=4,"Done",CHOOSE(P16+1,L16,M16,N16,O16)))</f>
        <v/>
      </c>
      <c r="R16" s="22"/>
    </row>
    <row r="17" customFormat="false" ht="15" hidden="false" customHeight="false" outlineLevel="0" collapsed="false">
      <c r="A17" s="22" t="n">
        <v>16</v>
      </c>
      <c r="B17" s="25"/>
      <c r="C17" s="22"/>
      <c r="D17" s="22"/>
      <c r="E17" s="22"/>
      <c r="F17" s="22"/>
      <c r="G17" s="22"/>
      <c r="H17" s="22"/>
      <c r="I17" s="22"/>
      <c r="J17" s="22"/>
      <c r="K17" s="22"/>
      <c r="L17" s="25" t="str">
        <f aca="false">IF($B17="","",$B17+1)</f>
        <v/>
      </c>
      <c r="M17" s="25" t="str">
        <f aca="false">IF($B17="","",$B17+3)</f>
        <v/>
      </c>
      <c r="N17" s="25" t="str">
        <f aca="false">IF($B17="","",$B17+7)</f>
        <v/>
      </c>
      <c r="O17" s="25" t="str">
        <f aca="false">IF($B17="","",$B17+21)</f>
        <v/>
      </c>
      <c r="P17" s="22"/>
      <c r="Q17" s="25" t="str">
        <f aca="false">IF($B17="","",IF(P17&gt;=4,"Done",CHOOSE(P17+1,L17,M17,N17,O17)))</f>
        <v/>
      </c>
      <c r="R17" s="22"/>
    </row>
    <row r="18" customFormat="false" ht="15" hidden="false" customHeight="false" outlineLevel="0" collapsed="false">
      <c r="A18" s="22" t="n">
        <v>17</v>
      </c>
      <c r="B18" s="25"/>
      <c r="C18" s="22"/>
      <c r="D18" s="22"/>
      <c r="E18" s="22"/>
      <c r="F18" s="22"/>
      <c r="G18" s="22"/>
      <c r="H18" s="22"/>
      <c r="I18" s="22"/>
      <c r="J18" s="22"/>
      <c r="K18" s="22"/>
      <c r="L18" s="25" t="str">
        <f aca="false">IF($B18="","",$B18+1)</f>
        <v/>
      </c>
      <c r="M18" s="25" t="str">
        <f aca="false">IF($B18="","",$B18+3)</f>
        <v/>
      </c>
      <c r="N18" s="25" t="str">
        <f aca="false">IF($B18="","",$B18+7)</f>
        <v/>
      </c>
      <c r="O18" s="25" t="str">
        <f aca="false">IF($B18="","",$B18+21)</f>
        <v/>
      </c>
      <c r="P18" s="22"/>
      <c r="Q18" s="25" t="str">
        <f aca="false">IF($B18="","",IF(P18&gt;=4,"Done",CHOOSE(P18+1,L18,M18,N18,O18)))</f>
        <v/>
      </c>
      <c r="R18" s="22"/>
    </row>
    <row r="19" customFormat="false" ht="15" hidden="false" customHeight="false" outlineLevel="0" collapsed="false">
      <c r="A19" s="22" t="n">
        <v>18</v>
      </c>
      <c r="B19" s="25"/>
      <c r="C19" s="22"/>
      <c r="D19" s="22"/>
      <c r="E19" s="22"/>
      <c r="F19" s="22"/>
      <c r="G19" s="22"/>
      <c r="H19" s="22"/>
      <c r="I19" s="22"/>
      <c r="J19" s="22"/>
      <c r="K19" s="22"/>
      <c r="L19" s="25" t="str">
        <f aca="false">IF($B19="","",$B19+1)</f>
        <v/>
      </c>
      <c r="M19" s="25" t="str">
        <f aca="false">IF($B19="","",$B19+3)</f>
        <v/>
      </c>
      <c r="N19" s="25" t="str">
        <f aca="false">IF($B19="","",$B19+7)</f>
        <v/>
      </c>
      <c r="O19" s="25" t="str">
        <f aca="false">IF($B19="","",$B19+21)</f>
        <v/>
      </c>
      <c r="P19" s="22"/>
      <c r="Q19" s="25" t="str">
        <f aca="false">IF($B19="","",IF(P19&gt;=4,"Done",CHOOSE(P19+1,L19,M19,N19,O19)))</f>
        <v/>
      </c>
      <c r="R19" s="22"/>
    </row>
    <row r="20" customFormat="false" ht="15" hidden="false" customHeight="false" outlineLevel="0" collapsed="false">
      <c r="A20" s="22" t="n">
        <v>19</v>
      </c>
      <c r="B20" s="25"/>
      <c r="C20" s="22"/>
      <c r="D20" s="22"/>
      <c r="E20" s="22"/>
      <c r="F20" s="22"/>
      <c r="G20" s="22"/>
      <c r="H20" s="22"/>
      <c r="I20" s="22"/>
      <c r="J20" s="22"/>
      <c r="K20" s="22"/>
      <c r="L20" s="25" t="str">
        <f aca="false">IF($B20="","",$B20+1)</f>
        <v/>
      </c>
      <c r="M20" s="25" t="str">
        <f aca="false">IF($B20="","",$B20+3)</f>
        <v/>
      </c>
      <c r="N20" s="25" t="str">
        <f aca="false">IF($B20="","",$B20+7)</f>
        <v/>
      </c>
      <c r="O20" s="25" t="str">
        <f aca="false">IF($B20="","",$B20+21)</f>
        <v/>
      </c>
      <c r="P20" s="22"/>
      <c r="Q20" s="25" t="str">
        <f aca="false">IF($B20="","",IF(P20&gt;=4,"Done",CHOOSE(P20+1,L20,M20,N20,O20)))</f>
        <v/>
      </c>
      <c r="R20" s="22"/>
    </row>
    <row r="21" customFormat="false" ht="15" hidden="false" customHeight="false" outlineLevel="0" collapsed="false">
      <c r="A21" s="22" t="n">
        <v>20</v>
      </c>
      <c r="B21" s="25"/>
      <c r="C21" s="22"/>
      <c r="D21" s="22"/>
      <c r="E21" s="22"/>
      <c r="F21" s="22"/>
      <c r="G21" s="22"/>
      <c r="H21" s="22"/>
      <c r="I21" s="22"/>
      <c r="J21" s="22"/>
      <c r="K21" s="22"/>
      <c r="L21" s="25" t="str">
        <f aca="false">IF($B21="","",$B21+1)</f>
        <v/>
      </c>
      <c r="M21" s="25" t="str">
        <f aca="false">IF($B21="","",$B21+3)</f>
        <v/>
      </c>
      <c r="N21" s="25" t="str">
        <f aca="false">IF($B21="","",$B21+7)</f>
        <v/>
      </c>
      <c r="O21" s="25" t="str">
        <f aca="false">IF($B21="","",$B21+21)</f>
        <v/>
      </c>
      <c r="P21" s="22"/>
      <c r="Q21" s="25" t="str">
        <f aca="false">IF($B21="","",IF(P21&gt;=4,"Done",CHOOSE(P21+1,L21,M21,N21,O21)))</f>
        <v/>
      </c>
      <c r="R21" s="22"/>
    </row>
    <row r="22" customFormat="false" ht="15" hidden="false" customHeight="false" outlineLevel="0" collapsed="false">
      <c r="A22" s="22" t="n">
        <v>21</v>
      </c>
      <c r="B22" s="25"/>
      <c r="C22" s="22"/>
      <c r="D22" s="22"/>
      <c r="E22" s="22"/>
      <c r="F22" s="22"/>
      <c r="G22" s="22"/>
      <c r="H22" s="22"/>
      <c r="I22" s="22"/>
      <c r="J22" s="22"/>
      <c r="K22" s="22"/>
      <c r="L22" s="25" t="str">
        <f aca="false">IF($B22="","",$B22+1)</f>
        <v/>
      </c>
      <c r="M22" s="25" t="str">
        <f aca="false">IF($B22="","",$B22+3)</f>
        <v/>
      </c>
      <c r="N22" s="25" t="str">
        <f aca="false">IF($B22="","",$B22+7)</f>
        <v/>
      </c>
      <c r="O22" s="25" t="str">
        <f aca="false">IF($B22="","",$B22+21)</f>
        <v/>
      </c>
      <c r="P22" s="22"/>
      <c r="Q22" s="25" t="str">
        <f aca="false">IF($B22="","",IF(P22&gt;=4,"Done",CHOOSE(P22+1,L22,M22,N22,O22)))</f>
        <v/>
      </c>
      <c r="R22" s="22"/>
    </row>
    <row r="23" customFormat="false" ht="15" hidden="false" customHeight="false" outlineLevel="0" collapsed="false">
      <c r="A23" s="22" t="n">
        <v>22</v>
      </c>
      <c r="B23" s="25"/>
      <c r="C23" s="22"/>
      <c r="D23" s="22"/>
      <c r="E23" s="22"/>
      <c r="F23" s="22"/>
      <c r="G23" s="22"/>
      <c r="H23" s="22"/>
      <c r="I23" s="22"/>
      <c r="J23" s="22"/>
      <c r="K23" s="22"/>
      <c r="L23" s="25" t="str">
        <f aca="false">IF($B23="","",$B23+1)</f>
        <v/>
      </c>
      <c r="M23" s="25" t="str">
        <f aca="false">IF($B23="","",$B23+3)</f>
        <v/>
      </c>
      <c r="N23" s="25" t="str">
        <f aca="false">IF($B23="","",$B23+7)</f>
        <v/>
      </c>
      <c r="O23" s="25" t="str">
        <f aca="false">IF($B23="","",$B23+21)</f>
        <v/>
      </c>
      <c r="P23" s="22"/>
      <c r="Q23" s="25" t="str">
        <f aca="false">IF($B23="","",IF(P23&gt;=4,"Done",CHOOSE(P23+1,L23,M23,N23,O23)))</f>
        <v/>
      </c>
      <c r="R23" s="22"/>
    </row>
    <row r="24" customFormat="false" ht="15" hidden="false" customHeight="false" outlineLevel="0" collapsed="false">
      <c r="A24" s="22" t="n">
        <v>23</v>
      </c>
      <c r="B24" s="25"/>
      <c r="C24" s="22"/>
      <c r="D24" s="22"/>
      <c r="E24" s="22"/>
      <c r="F24" s="22"/>
      <c r="G24" s="22"/>
      <c r="H24" s="22"/>
      <c r="I24" s="22"/>
      <c r="J24" s="22"/>
      <c r="K24" s="22"/>
      <c r="L24" s="25" t="str">
        <f aca="false">IF($B24="","",$B24+1)</f>
        <v/>
      </c>
      <c r="M24" s="25" t="str">
        <f aca="false">IF($B24="","",$B24+3)</f>
        <v/>
      </c>
      <c r="N24" s="25" t="str">
        <f aca="false">IF($B24="","",$B24+7)</f>
        <v/>
      </c>
      <c r="O24" s="25" t="str">
        <f aca="false">IF($B24="","",$B24+21)</f>
        <v/>
      </c>
      <c r="P24" s="22"/>
      <c r="Q24" s="25" t="str">
        <f aca="false">IF($B24="","",IF(P24&gt;=4,"Done",CHOOSE(P24+1,L24,M24,N24,O24)))</f>
        <v/>
      </c>
      <c r="R24" s="22"/>
    </row>
    <row r="25" customFormat="false" ht="15" hidden="false" customHeight="false" outlineLevel="0" collapsed="false">
      <c r="A25" s="22" t="n">
        <v>24</v>
      </c>
      <c r="B25" s="25"/>
      <c r="C25" s="22"/>
      <c r="D25" s="22"/>
      <c r="E25" s="22"/>
      <c r="F25" s="22"/>
      <c r="G25" s="22"/>
      <c r="H25" s="22"/>
      <c r="I25" s="22"/>
      <c r="J25" s="22"/>
      <c r="K25" s="22"/>
      <c r="L25" s="25" t="str">
        <f aca="false">IF($B25="","",$B25+1)</f>
        <v/>
      </c>
      <c r="M25" s="25" t="str">
        <f aca="false">IF($B25="","",$B25+3)</f>
        <v/>
      </c>
      <c r="N25" s="25" t="str">
        <f aca="false">IF($B25="","",$B25+7)</f>
        <v/>
      </c>
      <c r="O25" s="25" t="str">
        <f aca="false">IF($B25="","",$B25+21)</f>
        <v/>
      </c>
      <c r="P25" s="22"/>
      <c r="Q25" s="25" t="str">
        <f aca="false">IF($B25="","",IF(P25&gt;=4,"Done",CHOOSE(P25+1,L25,M25,N25,O25)))</f>
        <v/>
      </c>
      <c r="R25" s="22"/>
    </row>
    <row r="26" customFormat="false" ht="15" hidden="false" customHeight="false" outlineLevel="0" collapsed="false">
      <c r="A26" s="22" t="n">
        <v>25</v>
      </c>
      <c r="B26" s="25"/>
      <c r="C26" s="22"/>
      <c r="D26" s="22"/>
      <c r="E26" s="22"/>
      <c r="F26" s="22"/>
      <c r="G26" s="22"/>
      <c r="H26" s="22"/>
      <c r="I26" s="22"/>
      <c r="J26" s="22"/>
      <c r="K26" s="22"/>
      <c r="L26" s="25" t="str">
        <f aca="false">IF($B26="","",$B26+1)</f>
        <v/>
      </c>
      <c r="M26" s="25" t="str">
        <f aca="false">IF($B26="","",$B26+3)</f>
        <v/>
      </c>
      <c r="N26" s="25" t="str">
        <f aca="false">IF($B26="","",$B26+7)</f>
        <v/>
      </c>
      <c r="O26" s="25" t="str">
        <f aca="false">IF($B26="","",$B26+21)</f>
        <v/>
      </c>
      <c r="P26" s="22"/>
      <c r="Q26" s="25" t="str">
        <f aca="false">IF($B26="","",IF(P26&gt;=4,"Done",CHOOSE(P26+1,L26,M26,N26,O26)))</f>
        <v/>
      </c>
      <c r="R26" s="22"/>
    </row>
    <row r="27" customFormat="false" ht="15" hidden="false" customHeight="false" outlineLevel="0" collapsed="false">
      <c r="A27" s="22" t="n">
        <v>26</v>
      </c>
      <c r="B27" s="25"/>
      <c r="C27" s="22"/>
      <c r="D27" s="22"/>
      <c r="E27" s="22"/>
      <c r="F27" s="22"/>
      <c r="G27" s="22"/>
      <c r="H27" s="22"/>
      <c r="I27" s="22"/>
      <c r="J27" s="22"/>
      <c r="K27" s="22"/>
      <c r="L27" s="25" t="str">
        <f aca="false">IF($B27="","",$B27+1)</f>
        <v/>
      </c>
      <c r="M27" s="25" t="str">
        <f aca="false">IF($B27="","",$B27+3)</f>
        <v/>
      </c>
      <c r="N27" s="25" t="str">
        <f aca="false">IF($B27="","",$B27+7)</f>
        <v/>
      </c>
      <c r="O27" s="25" t="str">
        <f aca="false">IF($B27="","",$B27+21)</f>
        <v/>
      </c>
      <c r="P27" s="22"/>
      <c r="Q27" s="25" t="str">
        <f aca="false">IF($B27="","",IF(P27&gt;=4,"Done",CHOOSE(P27+1,L27,M27,N27,O27)))</f>
        <v/>
      </c>
      <c r="R27" s="22"/>
    </row>
    <row r="28" customFormat="false" ht="15" hidden="false" customHeight="false" outlineLevel="0" collapsed="false">
      <c r="A28" s="22" t="n">
        <v>27</v>
      </c>
      <c r="B28" s="25"/>
      <c r="C28" s="22"/>
      <c r="D28" s="22"/>
      <c r="E28" s="22"/>
      <c r="F28" s="22"/>
      <c r="G28" s="22"/>
      <c r="H28" s="22"/>
      <c r="I28" s="22"/>
      <c r="J28" s="22"/>
      <c r="K28" s="22"/>
      <c r="L28" s="25" t="str">
        <f aca="false">IF($B28="","",$B28+1)</f>
        <v/>
      </c>
      <c r="M28" s="25" t="str">
        <f aca="false">IF($B28="","",$B28+3)</f>
        <v/>
      </c>
      <c r="N28" s="25" t="str">
        <f aca="false">IF($B28="","",$B28+7)</f>
        <v/>
      </c>
      <c r="O28" s="25" t="str">
        <f aca="false">IF($B28="","",$B28+21)</f>
        <v/>
      </c>
      <c r="P28" s="22"/>
      <c r="Q28" s="25" t="str">
        <f aca="false">IF($B28="","",IF(P28&gt;=4,"Done",CHOOSE(P28+1,L28,M28,N28,O28)))</f>
        <v/>
      </c>
      <c r="R28" s="22"/>
    </row>
    <row r="29" customFormat="false" ht="15" hidden="false" customHeight="false" outlineLevel="0" collapsed="false">
      <c r="A29" s="22" t="n">
        <v>28</v>
      </c>
      <c r="B29" s="25"/>
      <c r="C29" s="22"/>
      <c r="D29" s="22"/>
      <c r="E29" s="22"/>
      <c r="F29" s="22"/>
      <c r="G29" s="22"/>
      <c r="H29" s="22"/>
      <c r="I29" s="22"/>
      <c r="J29" s="22"/>
      <c r="K29" s="22"/>
      <c r="L29" s="25" t="str">
        <f aca="false">IF($B29="","",$B29+1)</f>
        <v/>
      </c>
      <c r="M29" s="25" t="str">
        <f aca="false">IF($B29="","",$B29+3)</f>
        <v/>
      </c>
      <c r="N29" s="25" t="str">
        <f aca="false">IF($B29="","",$B29+7)</f>
        <v/>
      </c>
      <c r="O29" s="25" t="str">
        <f aca="false">IF($B29="","",$B29+21)</f>
        <v/>
      </c>
      <c r="P29" s="22"/>
      <c r="Q29" s="25" t="str">
        <f aca="false">IF($B29="","",IF(P29&gt;=4,"Done",CHOOSE(P29+1,L29,M29,N29,O29)))</f>
        <v/>
      </c>
      <c r="R29" s="22"/>
    </row>
    <row r="30" customFormat="false" ht="15" hidden="false" customHeight="false" outlineLevel="0" collapsed="false">
      <c r="A30" s="22" t="n">
        <v>29</v>
      </c>
      <c r="B30" s="25"/>
      <c r="C30" s="22"/>
      <c r="D30" s="22"/>
      <c r="E30" s="22"/>
      <c r="F30" s="22"/>
      <c r="G30" s="22"/>
      <c r="H30" s="22"/>
      <c r="I30" s="22"/>
      <c r="J30" s="22"/>
      <c r="K30" s="22"/>
      <c r="L30" s="25" t="str">
        <f aca="false">IF($B30="","",$B30+1)</f>
        <v/>
      </c>
      <c r="M30" s="25" t="str">
        <f aca="false">IF($B30="","",$B30+3)</f>
        <v/>
      </c>
      <c r="N30" s="25" t="str">
        <f aca="false">IF($B30="","",$B30+7)</f>
        <v/>
      </c>
      <c r="O30" s="25" t="str">
        <f aca="false">IF($B30="","",$B30+21)</f>
        <v/>
      </c>
      <c r="P30" s="22"/>
      <c r="Q30" s="25" t="str">
        <f aca="false">IF($B30="","",IF(P30&gt;=4,"Done",CHOOSE(P30+1,L30,M30,N30,O30)))</f>
        <v/>
      </c>
      <c r="R30" s="22"/>
    </row>
    <row r="31" customFormat="false" ht="15" hidden="false" customHeight="false" outlineLevel="0" collapsed="false">
      <c r="A31" s="22" t="n">
        <v>30</v>
      </c>
      <c r="B31" s="25"/>
      <c r="C31" s="22"/>
      <c r="D31" s="22"/>
      <c r="E31" s="22"/>
      <c r="F31" s="22"/>
      <c r="G31" s="22"/>
      <c r="H31" s="22"/>
      <c r="I31" s="22"/>
      <c r="J31" s="22"/>
      <c r="K31" s="22"/>
      <c r="L31" s="25" t="str">
        <f aca="false">IF($B31="","",$B31+1)</f>
        <v/>
      </c>
      <c r="M31" s="25" t="str">
        <f aca="false">IF($B31="","",$B31+3)</f>
        <v/>
      </c>
      <c r="N31" s="25" t="str">
        <f aca="false">IF($B31="","",$B31+7)</f>
        <v/>
      </c>
      <c r="O31" s="25" t="str">
        <f aca="false">IF($B31="","",$B31+21)</f>
        <v/>
      </c>
      <c r="P31" s="22"/>
      <c r="Q31" s="25" t="str">
        <f aca="false">IF($B31="","",IF(P31&gt;=4,"Done",CHOOSE(P31+1,L31,M31,N31,O31)))</f>
        <v/>
      </c>
      <c r="R31" s="22"/>
    </row>
    <row r="32" customFormat="false" ht="15" hidden="false" customHeight="false" outlineLevel="0" collapsed="false">
      <c r="A32" s="22" t="n">
        <v>31</v>
      </c>
      <c r="B32" s="25"/>
      <c r="C32" s="22"/>
      <c r="D32" s="22"/>
      <c r="E32" s="22"/>
      <c r="F32" s="22"/>
      <c r="G32" s="22"/>
      <c r="H32" s="22"/>
      <c r="I32" s="22"/>
      <c r="J32" s="22"/>
      <c r="K32" s="22"/>
      <c r="L32" s="25" t="str">
        <f aca="false">IF($B32="","",$B32+1)</f>
        <v/>
      </c>
      <c r="M32" s="25" t="str">
        <f aca="false">IF($B32="","",$B32+3)</f>
        <v/>
      </c>
      <c r="N32" s="25" t="str">
        <f aca="false">IF($B32="","",$B32+7)</f>
        <v/>
      </c>
      <c r="O32" s="25" t="str">
        <f aca="false">IF($B32="","",$B32+21)</f>
        <v/>
      </c>
      <c r="P32" s="22"/>
      <c r="Q32" s="25" t="str">
        <f aca="false">IF($B32="","",IF(P32&gt;=4,"Done",CHOOSE(P32+1,L32,M32,N32,O32)))</f>
        <v/>
      </c>
      <c r="R32" s="22"/>
    </row>
    <row r="33" customFormat="false" ht="15" hidden="false" customHeight="false" outlineLevel="0" collapsed="false">
      <c r="A33" s="22" t="n">
        <v>32</v>
      </c>
      <c r="B33" s="25"/>
      <c r="C33" s="22"/>
      <c r="D33" s="22"/>
      <c r="E33" s="22"/>
      <c r="F33" s="22"/>
      <c r="G33" s="22"/>
      <c r="H33" s="22"/>
      <c r="I33" s="22"/>
      <c r="J33" s="22"/>
      <c r="K33" s="22"/>
      <c r="L33" s="25" t="str">
        <f aca="false">IF($B33="","",$B33+1)</f>
        <v/>
      </c>
      <c r="M33" s="25" t="str">
        <f aca="false">IF($B33="","",$B33+3)</f>
        <v/>
      </c>
      <c r="N33" s="25" t="str">
        <f aca="false">IF($B33="","",$B33+7)</f>
        <v/>
      </c>
      <c r="O33" s="25" t="str">
        <f aca="false">IF($B33="","",$B33+21)</f>
        <v/>
      </c>
      <c r="P33" s="22"/>
      <c r="Q33" s="25" t="str">
        <f aca="false">IF($B33="","",IF(P33&gt;=4,"Done",CHOOSE(P33+1,L33,M33,N33,O33)))</f>
        <v/>
      </c>
      <c r="R33" s="22"/>
    </row>
    <row r="34" customFormat="false" ht="15" hidden="false" customHeight="false" outlineLevel="0" collapsed="false">
      <c r="A34" s="22" t="n">
        <v>33</v>
      </c>
      <c r="B34" s="25"/>
      <c r="C34" s="22"/>
      <c r="D34" s="22"/>
      <c r="E34" s="22"/>
      <c r="F34" s="22"/>
      <c r="G34" s="22"/>
      <c r="H34" s="22"/>
      <c r="I34" s="22"/>
      <c r="J34" s="22"/>
      <c r="K34" s="22"/>
      <c r="L34" s="25" t="str">
        <f aca="false">IF($B34="","",$B34+1)</f>
        <v/>
      </c>
      <c r="M34" s="25" t="str">
        <f aca="false">IF($B34="","",$B34+3)</f>
        <v/>
      </c>
      <c r="N34" s="25" t="str">
        <f aca="false">IF($B34="","",$B34+7)</f>
        <v/>
      </c>
      <c r="O34" s="25" t="str">
        <f aca="false">IF($B34="","",$B34+21)</f>
        <v/>
      </c>
      <c r="P34" s="22"/>
      <c r="Q34" s="25" t="str">
        <f aca="false">IF($B34="","",IF(P34&gt;=4,"Done",CHOOSE(P34+1,L34,M34,N34,O34)))</f>
        <v/>
      </c>
      <c r="R34" s="22"/>
    </row>
    <row r="35" customFormat="false" ht="15" hidden="false" customHeight="false" outlineLevel="0" collapsed="false">
      <c r="A35" s="22" t="n">
        <v>34</v>
      </c>
      <c r="B35" s="25"/>
      <c r="C35" s="22"/>
      <c r="D35" s="22"/>
      <c r="E35" s="22"/>
      <c r="F35" s="22"/>
      <c r="G35" s="22"/>
      <c r="H35" s="22"/>
      <c r="I35" s="22"/>
      <c r="J35" s="22"/>
      <c r="K35" s="22"/>
      <c r="L35" s="25" t="str">
        <f aca="false">IF($B35="","",$B35+1)</f>
        <v/>
      </c>
      <c r="M35" s="25" t="str">
        <f aca="false">IF($B35="","",$B35+3)</f>
        <v/>
      </c>
      <c r="N35" s="25" t="str">
        <f aca="false">IF($B35="","",$B35+7)</f>
        <v/>
      </c>
      <c r="O35" s="25" t="str">
        <f aca="false">IF($B35="","",$B35+21)</f>
        <v/>
      </c>
      <c r="P35" s="22"/>
      <c r="Q35" s="25" t="str">
        <f aca="false">IF($B35="","",IF(P35&gt;=4,"Done",CHOOSE(P35+1,L35,M35,N35,O35)))</f>
        <v/>
      </c>
      <c r="R35" s="22"/>
    </row>
    <row r="36" customFormat="false" ht="15" hidden="false" customHeight="false" outlineLevel="0" collapsed="false">
      <c r="A36" s="22" t="n">
        <v>35</v>
      </c>
      <c r="B36" s="25"/>
      <c r="C36" s="22"/>
      <c r="D36" s="22"/>
      <c r="E36" s="22"/>
      <c r="F36" s="22"/>
      <c r="G36" s="22"/>
      <c r="H36" s="22"/>
      <c r="I36" s="22"/>
      <c r="J36" s="22"/>
      <c r="K36" s="22"/>
      <c r="L36" s="25" t="str">
        <f aca="false">IF($B36="","",$B36+1)</f>
        <v/>
      </c>
      <c r="M36" s="25" t="str">
        <f aca="false">IF($B36="","",$B36+3)</f>
        <v/>
      </c>
      <c r="N36" s="25" t="str">
        <f aca="false">IF($B36="","",$B36+7)</f>
        <v/>
      </c>
      <c r="O36" s="25" t="str">
        <f aca="false">IF($B36="","",$B36+21)</f>
        <v/>
      </c>
      <c r="P36" s="22"/>
      <c r="Q36" s="25" t="str">
        <f aca="false">IF($B36="","",IF(P36&gt;=4,"Done",CHOOSE(P36+1,L36,M36,N36,O36)))</f>
        <v/>
      </c>
      <c r="R36" s="22"/>
    </row>
    <row r="37" customFormat="false" ht="15" hidden="false" customHeight="false" outlineLevel="0" collapsed="false">
      <c r="A37" s="22" t="n">
        <v>36</v>
      </c>
      <c r="B37" s="25"/>
      <c r="C37" s="22"/>
      <c r="D37" s="22"/>
      <c r="E37" s="22"/>
      <c r="F37" s="22"/>
      <c r="G37" s="22"/>
      <c r="H37" s="22"/>
      <c r="I37" s="22"/>
      <c r="J37" s="22"/>
      <c r="K37" s="22"/>
      <c r="L37" s="25" t="str">
        <f aca="false">IF($B37="","",$B37+1)</f>
        <v/>
      </c>
      <c r="M37" s="25" t="str">
        <f aca="false">IF($B37="","",$B37+3)</f>
        <v/>
      </c>
      <c r="N37" s="25" t="str">
        <f aca="false">IF($B37="","",$B37+7)</f>
        <v/>
      </c>
      <c r="O37" s="25" t="str">
        <f aca="false">IF($B37="","",$B37+21)</f>
        <v/>
      </c>
      <c r="P37" s="22"/>
      <c r="Q37" s="25" t="str">
        <f aca="false">IF($B37="","",IF(P37&gt;=4,"Done",CHOOSE(P37+1,L37,M37,N37,O37)))</f>
        <v/>
      </c>
      <c r="R37" s="22"/>
    </row>
    <row r="38" customFormat="false" ht="15" hidden="false" customHeight="false" outlineLevel="0" collapsed="false">
      <c r="A38" s="22" t="n">
        <v>37</v>
      </c>
      <c r="B38" s="25"/>
      <c r="C38" s="22"/>
      <c r="D38" s="22"/>
      <c r="E38" s="22"/>
      <c r="F38" s="22"/>
      <c r="G38" s="22"/>
      <c r="H38" s="22"/>
      <c r="I38" s="22"/>
      <c r="J38" s="22"/>
      <c r="K38" s="22"/>
      <c r="L38" s="25" t="str">
        <f aca="false">IF($B38="","",$B38+1)</f>
        <v/>
      </c>
      <c r="M38" s="25" t="str">
        <f aca="false">IF($B38="","",$B38+3)</f>
        <v/>
      </c>
      <c r="N38" s="25" t="str">
        <f aca="false">IF($B38="","",$B38+7)</f>
        <v/>
      </c>
      <c r="O38" s="25" t="str">
        <f aca="false">IF($B38="","",$B38+21)</f>
        <v/>
      </c>
      <c r="P38" s="22"/>
      <c r="Q38" s="25" t="str">
        <f aca="false">IF($B38="","",IF(P38&gt;=4,"Done",CHOOSE(P38+1,L38,M38,N38,O38)))</f>
        <v/>
      </c>
      <c r="R38" s="22"/>
    </row>
    <row r="39" customFormat="false" ht="15" hidden="false" customHeight="false" outlineLevel="0" collapsed="false">
      <c r="A39" s="22" t="n">
        <v>38</v>
      </c>
      <c r="B39" s="25"/>
      <c r="C39" s="22"/>
      <c r="D39" s="22"/>
      <c r="E39" s="22"/>
      <c r="F39" s="22"/>
      <c r="G39" s="22"/>
      <c r="H39" s="22"/>
      <c r="I39" s="22"/>
      <c r="J39" s="22"/>
      <c r="K39" s="22"/>
      <c r="L39" s="25" t="str">
        <f aca="false">IF($B39="","",$B39+1)</f>
        <v/>
      </c>
      <c r="M39" s="25" t="str">
        <f aca="false">IF($B39="","",$B39+3)</f>
        <v/>
      </c>
      <c r="N39" s="25" t="str">
        <f aca="false">IF($B39="","",$B39+7)</f>
        <v/>
      </c>
      <c r="O39" s="25" t="str">
        <f aca="false">IF($B39="","",$B39+21)</f>
        <v/>
      </c>
      <c r="P39" s="22"/>
      <c r="Q39" s="25" t="str">
        <f aca="false">IF($B39="","",IF(P39&gt;=4,"Done",CHOOSE(P39+1,L39,M39,N39,O39)))</f>
        <v/>
      </c>
      <c r="R39" s="22"/>
    </row>
    <row r="40" customFormat="false" ht="15" hidden="false" customHeight="false" outlineLevel="0" collapsed="false">
      <c r="A40" s="22" t="n">
        <v>39</v>
      </c>
      <c r="B40" s="25"/>
      <c r="C40" s="22"/>
      <c r="D40" s="22"/>
      <c r="E40" s="22"/>
      <c r="F40" s="22"/>
      <c r="G40" s="22"/>
      <c r="H40" s="22"/>
      <c r="I40" s="22"/>
      <c r="J40" s="22"/>
      <c r="K40" s="22"/>
      <c r="L40" s="25" t="str">
        <f aca="false">IF($B40="","",$B40+1)</f>
        <v/>
      </c>
      <c r="M40" s="25" t="str">
        <f aca="false">IF($B40="","",$B40+3)</f>
        <v/>
      </c>
      <c r="N40" s="25" t="str">
        <f aca="false">IF($B40="","",$B40+7)</f>
        <v/>
      </c>
      <c r="O40" s="25" t="str">
        <f aca="false">IF($B40="","",$B40+21)</f>
        <v/>
      </c>
      <c r="P40" s="22"/>
      <c r="Q40" s="25" t="str">
        <f aca="false">IF($B40="","",IF(P40&gt;=4,"Done",CHOOSE(P40+1,L40,M40,N40,O40)))</f>
        <v/>
      </c>
      <c r="R40" s="22"/>
    </row>
    <row r="41" customFormat="false" ht="15" hidden="false" customHeight="false" outlineLevel="0" collapsed="false">
      <c r="A41" s="22" t="n">
        <v>40</v>
      </c>
      <c r="B41" s="25"/>
      <c r="C41" s="22"/>
      <c r="D41" s="22"/>
      <c r="E41" s="22"/>
      <c r="F41" s="22"/>
      <c r="G41" s="22"/>
      <c r="H41" s="22"/>
      <c r="I41" s="22"/>
      <c r="J41" s="22"/>
      <c r="K41" s="22"/>
      <c r="L41" s="25" t="str">
        <f aca="false">IF($B41="","",$B41+1)</f>
        <v/>
      </c>
      <c r="M41" s="25" t="str">
        <f aca="false">IF($B41="","",$B41+3)</f>
        <v/>
      </c>
      <c r="N41" s="25" t="str">
        <f aca="false">IF($B41="","",$B41+7)</f>
        <v/>
      </c>
      <c r="O41" s="25" t="str">
        <f aca="false">IF($B41="","",$B41+21)</f>
        <v/>
      </c>
      <c r="P41" s="22"/>
      <c r="Q41" s="25" t="str">
        <f aca="false">IF($B41="","",IF(P41&gt;=4,"Done",CHOOSE(P41+1,L41,M41,N41,O41)))</f>
        <v/>
      </c>
      <c r="R41" s="22"/>
    </row>
    <row r="42" customFormat="false" ht="15" hidden="false" customHeight="false" outlineLevel="0" collapsed="false">
      <c r="A42" s="22" t="n">
        <v>41</v>
      </c>
      <c r="B42" s="25"/>
      <c r="C42" s="22"/>
      <c r="D42" s="22"/>
      <c r="E42" s="22"/>
      <c r="F42" s="22"/>
      <c r="G42" s="22"/>
      <c r="H42" s="22"/>
      <c r="I42" s="22"/>
      <c r="J42" s="22"/>
      <c r="K42" s="22"/>
      <c r="L42" s="25" t="str">
        <f aca="false">IF($B42="","",$B42+1)</f>
        <v/>
      </c>
      <c r="M42" s="25" t="str">
        <f aca="false">IF($B42="","",$B42+3)</f>
        <v/>
      </c>
      <c r="N42" s="25" t="str">
        <f aca="false">IF($B42="","",$B42+7)</f>
        <v/>
      </c>
      <c r="O42" s="25" t="str">
        <f aca="false">IF($B42="","",$B42+21)</f>
        <v/>
      </c>
      <c r="P42" s="22"/>
      <c r="Q42" s="25" t="str">
        <f aca="false">IF($B42="","",IF(P42&gt;=4,"Done",CHOOSE(P42+1,L42,M42,N42,O42)))</f>
        <v/>
      </c>
      <c r="R42" s="22"/>
    </row>
    <row r="43" customFormat="false" ht="15" hidden="false" customHeight="false" outlineLevel="0" collapsed="false">
      <c r="A43" s="22" t="n">
        <v>42</v>
      </c>
      <c r="B43" s="25"/>
      <c r="C43" s="22"/>
      <c r="D43" s="22"/>
      <c r="E43" s="22"/>
      <c r="F43" s="22"/>
      <c r="G43" s="22"/>
      <c r="H43" s="22"/>
      <c r="I43" s="22"/>
      <c r="J43" s="22"/>
      <c r="K43" s="22"/>
      <c r="L43" s="25" t="str">
        <f aca="false">IF($B43="","",$B43+1)</f>
        <v/>
      </c>
      <c r="M43" s="25" t="str">
        <f aca="false">IF($B43="","",$B43+3)</f>
        <v/>
      </c>
      <c r="N43" s="25" t="str">
        <f aca="false">IF($B43="","",$B43+7)</f>
        <v/>
      </c>
      <c r="O43" s="25" t="str">
        <f aca="false">IF($B43="","",$B43+21)</f>
        <v/>
      </c>
      <c r="P43" s="22"/>
      <c r="Q43" s="25" t="str">
        <f aca="false">IF($B43="","",IF(P43&gt;=4,"Done",CHOOSE(P43+1,L43,M43,N43,O43)))</f>
        <v/>
      </c>
      <c r="R43" s="22"/>
    </row>
    <row r="44" customFormat="false" ht="15" hidden="false" customHeight="false" outlineLevel="0" collapsed="false">
      <c r="A44" s="22" t="n">
        <v>43</v>
      </c>
      <c r="B44" s="25"/>
      <c r="C44" s="22"/>
      <c r="D44" s="22"/>
      <c r="E44" s="22"/>
      <c r="F44" s="22"/>
      <c r="G44" s="22"/>
      <c r="H44" s="22"/>
      <c r="I44" s="22"/>
      <c r="J44" s="22"/>
      <c r="K44" s="22"/>
      <c r="L44" s="25" t="str">
        <f aca="false">IF($B44="","",$B44+1)</f>
        <v/>
      </c>
      <c r="M44" s="25" t="str">
        <f aca="false">IF($B44="","",$B44+3)</f>
        <v/>
      </c>
      <c r="N44" s="25" t="str">
        <f aca="false">IF($B44="","",$B44+7)</f>
        <v/>
      </c>
      <c r="O44" s="25" t="str">
        <f aca="false">IF($B44="","",$B44+21)</f>
        <v/>
      </c>
      <c r="P44" s="22"/>
      <c r="Q44" s="25" t="str">
        <f aca="false">IF($B44="","",IF(P44&gt;=4,"Done",CHOOSE(P44+1,L44,M44,N44,O44)))</f>
        <v/>
      </c>
      <c r="R44" s="22"/>
    </row>
    <row r="45" customFormat="false" ht="15" hidden="false" customHeight="false" outlineLevel="0" collapsed="false">
      <c r="A45" s="22" t="n">
        <v>44</v>
      </c>
      <c r="B45" s="25"/>
      <c r="C45" s="22"/>
      <c r="D45" s="22"/>
      <c r="E45" s="22"/>
      <c r="F45" s="22"/>
      <c r="G45" s="22"/>
      <c r="H45" s="22"/>
      <c r="I45" s="22"/>
      <c r="J45" s="22"/>
      <c r="K45" s="22"/>
      <c r="L45" s="25" t="str">
        <f aca="false">IF($B45="","",$B45+1)</f>
        <v/>
      </c>
      <c r="M45" s="25" t="str">
        <f aca="false">IF($B45="","",$B45+3)</f>
        <v/>
      </c>
      <c r="N45" s="25" t="str">
        <f aca="false">IF($B45="","",$B45+7)</f>
        <v/>
      </c>
      <c r="O45" s="25" t="str">
        <f aca="false">IF($B45="","",$B45+21)</f>
        <v/>
      </c>
      <c r="P45" s="22"/>
      <c r="Q45" s="25" t="str">
        <f aca="false">IF($B45="","",IF(P45&gt;=4,"Done",CHOOSE(P45+1,L45,M45,N45,O45)))</f>
        <v/>
      </c>
      <c r="R45" s="22"/>
    </row>
    <row r="46" customFormat="false" ht="15" hidden="false" customHeight="false" outlineLevel="0" collapsed="false">
      <c r="A46" s="22" t="n">
        <v>45</v>
      </c>
      <c r="B46" s="25"/>
      <c r="C46" s="22"/>
      <c r="D46" s="22"/>
      <c r="E46" s="22"/>
      <c r="F46" s="22"/>
      <c r="G46" s="22"/>
      <c r="H46" s="22"/>
      <c r="I46" s="22"/>
      <c r="J46" s="22"/>
      <c r="K46" s="22"/>
      <c r="L46" s="25" t="str">
        <f aca="false">IF($B46="","",$B46+1)</f>
        <v/>
      </c>
      <c r="M46" s="25" t="str">
        <f aca="false">IF($B46="","",$B46+3)</f>
        <v/>
      </c>
      <c r="N46" s="25" t="str">
        <f aca="false">IF($B46="","",$B46+7)</f>
        <v/>
      </c>
      <c r="O46" s="25" t="str">
        <f aca="false">IF($B46="","",$B46+21)</f>
        <v/>
      </c>
      <c r="P46" s="22"/>
      <c r="Q46" s="25" t="str">
        <f aca="false">IF($B46="","",IF(P46&gt;=4,"Done",CHOOSE(P46+1,L46,M46,N46,O46)))</f>
        <v/>
      </c>
      <c r="R46" s="22"/>
    </row>
    <row r="47" customFormat="false" ht="15" hidden="false" customHeight="false" outlineLevel="0" collapsed="false">
      <c r="A47" s="22" t="n">
        <v>46</v>
      </c>
      <c r="B47" s="25"/>
      <c r="C47" s="22"/>
      <c r="D47" s="22"/>
      <c r="E47" s="22"/>
      <c r="F47" s="22"/>
      <c r="G47" s="22"/>
      <c r="H47" s="22"/>
      <c r="I47" s="22"/>
      <c r="J47" s="22"/>
      <c r="K47" s="22"/>
      <c r="L47" s="25" t="str">
        <f aca="false">IF($B47="","",$B47+1)</f>
        <v/>
      </c>
      <c r="M47" s="25" t="str">
        <f aca="false">IF($B47="","",$B47+3)</f>
        <v/>
      </c>
      <c r="N47" s="25" t="str">
        <f aca="false">IF($B47="","",$B47+7)</f>
        <v/>
      </c>
      <c r="O47" s="25" t="str">
        <f aca="false">IF($B47="","",$B47+21)</f>
        <v/>
      </c>
      <c r="P47" s="22"/>
      <c r="Q47" s="25" t="str">
        <f aca="false">IF($B47="","",IF(P47&gt;=4,"Done",CHOOSE(P47+1,L47,M47,N47,O47)))</f>
        <v/>
      </c>
      <c r="R47" s="22"/>
    </row>
    <row r="48" customFormat="false" ht="15" hidden="false" customHeight="false" outlineLevel="0" collapsed="false">
      <c r="A48" s="22" t="n">
        <v>47</v>
      </c>
      <c r="B48" s="25"/>
      <c r="C48" s="22"/>
      <c r="D48" s="22"/>
      <c r="E48" s="22"/>
      <c r="F48" s="22"/>
      <c r="G48" s="22"/>
      <c r="H48" s="22"/>
      <c r="I48" s="22"/>
      <c r="J48" s="22"/>
      <c r="K48" s="22"/>
      <c r="L48" s="25" t="str">
        <f aca="false">IF($B48="","",$B48+1)</f>
        <v/>
      </c>
      <c r="M48" s="25" t="str">
        <f aca="false">IF($B48="","",$B48+3)</f>
        <v/>
      </c>
      <c r="N48" s="25" t="str">
        <f aca="false">IF($B48="","",$B48+7)</f>
        <v/>
      </c>
      <c r="O48" s="25" t="str">
        <f aca="false">IF($B48="","",$B48+21)</f>
        <v/>
      </c>
      <c r="P48" s="22"/>
      <c r="Q48" s="25" t="str">
        <f aca="false">IF($B48="","",IF(P48&gt;=4,"Done",CHOOSE(P48+1,L48,M48,N48,O48)))</f>
        <v/>
      </c>
      <c r="R48" s="22"/>
    </row>
    <row r="49" customFormat="false" ht="15" hidden="false" customHeight="false" outlineLevel="0" collapsed="false">
      <c r="A49" s="22" t="n">
        <v>48</v>
      </c>
      <c r="B49" s="25"/>
      <c r="C49" s="22"/>
      <c r="D49" s="22"/>
      <c r="E49" s="22"/>
      <c r="F49" s="22"/>
      <c r="G49" s="22"/>
      <c r="H49" s="22"/>
      <c r="I49" s="22"/>
      <c r="J49" s="22"/>
      <c r="K49" s="22"/>
      <c r="L49" s="25" t="str">
        <f aca="false">IF($B49="","",$B49+1)</f>
        <v/>
      </c>
      <c r="M49" s="25" t="str">
        <f aca="false">IF($B49="","",$B49+3)</f>
        <v/>
      </c>
      <c r="N49" s="25" t="str">
        <f aca="false">IF($B49="","",$B49+7)</f>
        <v/>
      </c>
      <c r="O49" s="25" t="str">
        <f aca="false">IF($B49="","",$B49+21)</f>
        <v/>
      </c>
      <c r="P49" s="22"/>
      <c r="Q49" s="25" t="str">
        <f aca="false">IF($B49="","",IF(P49&gt;=4,"Done",CHOOSE(P49+1,L49,M49,N49,O49)))</f>
        <v/>
      </c>
      <c r="R49" s="22"/>
    </row>
    <row r="50" customFormat="false" ht="15" hidden="false" customHeight="false" outlineLevel="0" collapsed="false">
      <c r="A50" s="22" t="n">
        <v>49</v>
      </c>
      <c r="B50" s="25"/>
      <c r="C50" s="22"/>
      <c r="D50" s="22"/>
      <c r="E50" s="22"/>
      <c r="F50" s="22"/>
      <c r="G50" s="22"/>
      <c r="H50" s="22"/>
      <c r="I50" s="22"/>
      <c r="J50" s="22"/>
      <c r="K50" s="22"/>
      <c r="L50" s="25" t="str">
        <f aca="false">IF($B50="","",$B50+1)</f>
        <v/>
      </c>
      <c r="M50" s="25" t="str">
        <f aca="false">IF($B50="","",$B50+3)</f>
        <v/>
      </c>
      <c r="N50" s="25" t="str">
        <f aca="false">IF($B50="","",$B50+7)</f>
        <v/>
      </c>
      <c r="O50" s="25" t="str">
        <f aca="false">IF($B50="","",$B50+21)</f>
        <v/>
      </c>
      <c r="P50" s="22"/>
      <c r="Q50" s="25" t="str">
        <f aca="false">IF($B50="","",IF(P50&gt;=4,"Done",CHOOSE(P50+1,L50,M50,N50,O50)))</f>
        <v/>
      </c>
      <c r="R50" s="22"/>
    </row>
    <row r="51" customFormat="false" ht="15" hidden="false" customHeight="false" outlineLevel="0" collapsed="false">
      <c r="A51" s="22" t="n">
        <v>50</v>
      </c>
      <c r="B51" s="25"/>
      <c r="C51" s="22"/>
      <c r="D51" s="22"/>
      <c r="E51" s="22"/>
      <c r="F51" s="22"/>
      <c r="G51" s="22"/>
      <c r="H51" s="22"/>
      <c r="I51" s="22"/>
      <c r="J51" s="22"/>
      <c r="K51" s="22"/>
      <c r="L51" s="25" t="str">
        <f aca="false">IF($B51="","",$B51+1)</f>
        <v/>
      </c>
      <c r="M51" s="25" t="str">
        <f aca="false">IF($B51="","",$B51+3)</f>
        <v/>
      </c>
      <c r="N51" s="25" t="str">
        <f aca="false">IF($B51="","",$B51+7)</f>
        <v/>
      </c>
      <c r="O51" s="25" t="str">
        <f aca="false">IF($B51="","",$B51+21)</f>
        <v/>
      </c>
      <c r="P51" s="22"/>
      <c r="Q51" s="25" t="str">
        <f aca="false">IF($B51="","",IF(P51&gt;=4,"Done",CHOOSE(P51+1,L51,M51,N51,O51)))</f>
        <v/>
      </c>
      <c r="R51" s="22"/>
    </row>
    <row r="52" customFormat="false" ht="15" hidden="false" customHeight="false" outlineLevel="0" collapsed="false">
      <c r="A52" s="22" t="n">
        <v>51</v>
      </c>
      <c r="B52" s="25"/>
      <c r="C52" s="22"/>
      <c r="D52" s="22"/>
      <c r="E52" s="22"/>
      <c r="F52" s="22"/>
      <c r="G52" s="22"/>
      <c r="H52" s="22"/>
      <c r="I52" s="22"/>
      <c r="J52" s="22"/>
      <c r="K52" s="22"/>
      <c r="L52" s="25" t="str">
        <f aca="false">IF($B52="","",$B52+1)</f>
        <v/>
      </c>
      <c r="M52" s="25" t="str">
        <f aca="false">IF($B52="","",$B52+3)</f>
        <v/>
      </c>
      <c r="N52" s="25" t="str">
        <f aca="false">IF($B52="","",$B52+7)</f>
        <v/>
      </c>
      <c r="O52" s="25" t="str">
        <f aca="false">IF($B52="","",$B52+21)</f>
        <v/>
      </c>
      <c r="P52" s="22"/>
      <c r="Q52" s="25" t="str">
        <f aca="false">IF($B52="","",IF(P52&gt;=4,"Done",CHOOSE(P52+1,L52,M52,N52,O52)))</f>
        <v/>
      </c>
      <c r="R52" s="22"/>
    </row>
    <row r="53" customFormat="false" ht="15" hidden="false" customHeight="false" outlineLevel="0" collapsed="false">
      <c r="A53" s="22" t="n">
        <v>52</v>
      </c>
      <c r="B53" s="25"/>
      <c r="C53" s="22"/>
      <c r="D53" s="22"/>
      <c r="E53" s="22"/>
      <c r="F53" s="22"/>
      <c r="G53" s="22"/>
      <c r="H53" s="22"/>
      <c r="I53" s="22"/>
      <c r="J53" s="22"/>
      <c r="K53" s="22"/>
      <c r="L53" s="25" t="str">
        <f aca="false">IF($B53="","",$B53+1)</f>
        <v/>
      </c>
      <c r="M53" s="25" t="str">
        <f aca="false">IF($B53="","",$B53+3)</f>
        <v/>
      </c>
      <c r="N53" s="25" t="str">
        <f aca="false">IF($B53="","",$B53+7)</f>
        <v/>
      </c>
      <c r="O53" s="25" t="str">
        <f aca="false">IF($B53="","",$B53+21)</f>
        <v/>
      </c>
      <c r="P53" s="22"/>
      <c r="Q53" s="25" t="str">
        <f aca="false">IF($B53="","",IF(P53&gt;=4,"Done",CHOOSE(P53+1,L53,M53,N53,O53)))</f>
        <v/>
      </c>
      <c r="R53" s="22"/>
    </row>
    <row r="54" customFormat="false" ht="15" hidden="false" customHeight="false" outlineLevel="0" collapsed="false">
      <c r="A54" s="22" t="n">
        <v>53</v>
      </c>
      <c r="B54" s="25"/>
      <c r="C54" s="22"/>
      <c r="D54" s="22"/>
      <c r="E54" s="22"/>
      <c r="F54" s="22"/>
      <c r="G54" s="22"/>
      <c r="H54" s="22"/>
      <c r="I54" s="22"/>
      <c r="J54" s="22"/>
      <c r="K54" s="22"/>
      <c r="L54" s="25" t="str">
        <f aca="false">IF($B54="","",$B54+1)</f>
        <v/>
      </c>
      <c r="M54" s="25" t="str">
        <f aca="false">IF($B54="","",$B54+3)</f>
        <v/>
      </c>
      <c r="N54" s="25" t="str">
        <f aca="false">IF($B54="","",$B54+7)</f>
        <v/>
      </c>
      <c r="O54" s="25" t="str">
        <f aca="false">IF($B54="","",$B54+21)</f>
        <v/>
      </c>
      <c r="P54" s="22"/>
      <c r="Q54" s="25" t="str">
        <f aca="false">IF($B54="","",IF(P54&gt;=4,"Done",CHOOSE(P54+1,L54,M54,N54,O54)))</f>
        <v/>
      </c>
      <c r="R54" s="22"/>
    </row>
    <row r="55" customFormat="false" ht="15" hidden="false" customHeight="false" outlineLevel="0" collapsed="false">
      <c r="A55" s="22" t="n">
        <v>54</v>
      </c>
      <c r="B55" s="25"/>
      <c r="C55" s="22"/>
      <c r="D55" s="22"/>
      <c r="E55" s="22"/>
      <c r="F55" s="22"/>
      <c r="G55" s="22"/>
      <c r="H55" s="22"/>
      <c r="I55" s="22"/>
      <c r="J55" s="22"/>
      <c r="K55" s="22"/>
      <c r="L55" s="25" t="str">
        <f aca="false">IF($B55="","",$B55+1)</f>
        <v/>
      </c>
      <c r="M55" s="25" t="str">
        <f aca="false">IF($B55="","",$B55+3)</f>
        <v/>
      </c>
      <c r="N55" s="25" t="str">
        <f aca="false">IF($B55="","",$B55+7)</f>
        <v/>
      </c>
      <c r="O55" s="25" t="str">
        <f aca="false">IF($B55="","",$B55+21)</f>
        <v/>
      </c>
      <c r="P55" s="22"/>
      <c r="Q55" s="25" t="str">
        <f aca="false">IF($B55="","",IF(P55&gt;=4,"Done",CHOOSE(P55+1,L55,M55,N55,O55)))</f>
        <v/>
      </c>
      <c r="R55" s="22"/>
    </row>
    <row r="56" customFormat="false" ht="15" hidden="false" customHeight="false" outlineLevel="0" collapsed="false">
      <c r="A56" s="22" t="n">
        <v>55</v>
      </c>
      <c r="B56" s="25"/>
      <c r="C56" s="22"/>
      <c r="D56" s="22"/>
      <c r="E56" s="22"/>
      <c r="F56" s="22"/>
      <c r="G56" s="22"/>
      <c r="H56" s="22"/>
      <c r="I56" s="22"/>
      <c r="J56" s="22"/>
      <c r="K56" s="22"/>
      <c r="L56" s="25" t="str">
        <f aca="false">IF($B56="","",$B56+1)</f>
        <v/>
      </c>
      <c r="M56" s="25" t="str">
        <f aca="false">IF($B56="","",$B56+3)</f>
        <v/>
      </c>
      <c r="N56" s="25" t="str">
        <f aca="false">IF($B56="","",$B56+7)</f>
        <v/>
      </c>
      <c r="O56" s="25" t="str">
        <f aca="false">IF($B56="","",$B56+21)</f>
        <v/>
      </c>
      <c r="P56" s="22"/>
      <c r="Q56" s="25" t="str">
        <f aca="false">IF($B56="","",IF(P56&gt;=4,"Done",CHOOSE(P56+1,L56,M56,N56,O56)))</f>
        <v/>
      </c>
      <c r="R56" s="22"/>
    </row>
    <row r="57" customFormat="false" ht="15" hidden="false" customHeight="false" outlineLevel="0" collapsed="false">
      <c r="A57" s="22" t="n">
        <v>56</v>
      </c>
      <c r="B57" s="25"/>
      <c r="C57" s="22"/>
      <c r="D57" s="22"/>
      <c r="E57" s="22"/>
      <c r="F57" s="22"/>
      <c r="G57" s="22"/>
      <c r="H57" s="22"/>
      <c r="I57" s="22"/>
      <c r="J57" s="22"/>
      <c r="K57" s="22"/>
      <c r="L57" s="25" t="str">
        <f aca="false">IF($B57="","",$B57+1)</f>
        <v/>
      </c>
      <c r="M57" s="25" t="str">
        <f aca="false">IF($B57="","",$B57+3)</f>
        <v/>
      </c>
      <c r="N57" s="25" t="str">
        <f aca="false">IF($B57="","",$B57+7)</f>
        <v/>
      </c>
      <c r="O57" s="25" t="str">
        <f aca="false">IF($B57="","",$B57+21)</f>
        <v/>
      </c>
      <c r="P57" s="22"/>
      <c r="Q57" s="25" t="str">
        <f aca="false">IF($B57="","",IF(P57&gt;=4,"Done",CHOOSE(P57+1,L57,M57,N57,O57)))</f>
        <v/>
      </c>
      <c r="R57" s="22"/>
    </row>
    <row r="58" customFormat="false" ht="15" hidden="false" customHeight="false" outlineLevel="0" collapsed="false">
      <c r="A58" s="22" t="n">
        <v>57</v>
      </c>
      <c r="B58" s="25"/>
      <c r="C58" s="22"/>
      <c r="D58" s="22"/>
      <c r="E58" s="22"/>
      <c r="F58" s="22"/>
      <c r="G58" s="22"/>
      <c r="H58" s="22"/>
      <c r="I58" s="22"/>
      <c r="J58" s="22"/>
      <c r="K58" s="22"/>
      <c r="L58" s="25" t="str">
        <f aca="false">IF($B58="","",$B58+1)</f>
        <v/>
      </c>
      <c r="M58" s="25" t="str">
        <f aca="false">IF($B58="","",$B58+3)</f>
        <v/>
      </c>
      <c r="N58" s="25" t="str">
        <f aca="false">IF($B58="","",$B58+7)</f>
        <v/>
      </c>
      <c r="O58" s="25" t="str">
        <f aca="false">IF($B58="","",$B58+21)</f>
        <v/>
      </c>
      <c r="P58" s="22"/>
      <c r="Q58" s="25" t="str">
        <f aca="false">IF($B58="","",IF(P58&gt;=4,"Done",CHOOSE(P58+1,L58,M58,N58,O58)))</f>
        <v/>
      </c>
      <c r="R58" s="22"/>
    </row>
    <row r="59" customFormat="false" ht="15" hidden="false" customHeight="false" outlineLevel="0" collapsed="false">
      <c r="A59" s="22" t="n">
        <v>58</v>
      </c>
      <c r="B59" s="25"/>
      <c r="C59" s="22"/>
      <c r="D59" s="22"/>
      <c r="E59" s="22"/>
      <c r="F59" s="22"/>
      <c r="G59" s="22"/>
      <c r="H59" s="22"/>
      <c r="I59" s="22"/>
      <c r="J59" s="22"/>
      <c r="K59" s="22"/>
      <c r="L59" s="25" t="str">
        <f aca="false">IF($B59="","",$B59+1)</f>
        <v/>
      </c>
      <c r="M59" s="25" t="str">
        <f aca="false">IF($B59="","",$B59+3)</f>
        <v/>
      </c>
      <c r="N59" s="25" t="str">
        <f aca="false">IF($B59="","",$B59+7)</f>
        <v/>
      </c>
      <c r="O59" s="25" t="str">
        <f aca="false">IF($B59="","",$B59+21)</f>
        <v/>
      </c>
      <c r="P59" s="22"/>
      <c r="Q59" s="25" t="str">
        <f aca="false">IF($B59="","",IF(P59&gt;=4,"Done",CHOOSE(P59+1,L59,M59,N59,O59)))</f>
        <v/>
      </c>
      <c r="R59" s="22"/>
    </row>
    <row r="60" customFormat="false" ht="15" hidden="false" customHeight="false" outlineLevel="0" collapsed="false">
      <c r="A60" s="22" t="n">
        <v>59</v>
      </c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5" t="str">
        <f aca="false">IF($B60="","",$B60+1)</f>
        <v/>
      </c>
      <c r="M60" s="25" t="str">
        <f aca="false">IF($B60="","",$B60+3)</f>
        <v/>
      </c>
      <c r="N60" s="25" t="str">
        <f aca="false">IF($B60="","",$B60+7)</f>
        <v/>
      </c>
      <c r="O60" s="25" t="str">
        <f aca="false">IF($B60="","",$B60+21)</f>
        <v/>
      </c>
      <c r="P60" s="22"/>
      <c r="Q60" s="25" t="str">
        <f aca="false">IF($B60="","",IF(P60&gt;=4,"Done",CHOOSE(P60+1,L60,M60,N60,O60)))</f>
        <v/>
      </c>
      <c r="R60" s="22"/>
    </row>
    <row r="61" customFormat="false" ht="15" hidden="false" customHeight="false" outlineLevel="0" collapsed="false">
      <c r="A61" s="22" t="n">
        <v>60</v>
      </c>
      <c r="B61" s="25"/>
      <c r="C61" s="22"/>
      <c r="D61" s="22"/>
      <c r="E61" s="22"/>
      <c r="F61" s="22"/>
      <c r="G61" s="22"/>
      <c r="H61" s="22"/>
      <c r="I61" s="22"/>
      <c r="J61" s="22"/>
      <c r="K61" s="22"/>
      <c r="L61" s="25" t="str">
        <f aca="false">IF($B61="","",$B61+1)</f>
        <v/>
      </c>
      <c r="M61" s="25" t="str">
        <f aca="false">IF($B61="","",$B61+3)</f>
        <v/>
      </c>
      <c r="N61" s="25" t="str">
        <f aca="false">IF($B61="","",$B61+7)</f>
        <v/>
      </c>
      <c r="O61" s="25" t="str">
        <f aca="false">IF($B61="","",$B61+21)</f>
        <v/>
      </c>
      <c r="P61" s="22"/>
      <c r="Q61" s="25" t="str">
        <f aca="false">IF($B61="","",IF(P61&gt;=4,"Done",CHOOSE(P61+1,L61,M61,N61,O61)))</f>
        <v/>
      </c>
      <c r="R61" s="22"/>
    </row>
    <row r="62" customFormat="false" ht="15" hidden="false" customHeight="false" outlineLevel="0" collapsed="false">
      <c r="A62" s="22" t="n">
        <v>61</v>
      </c>
      <c r="B62" s="25"/>
      <c r="C62" s="22"/>
      <c r="D62" s="22"/>
      <c r="E62" s="22"/>
      <c r="F62" s="22"/>
      <c r="G62" s="22"/>
      <c r="H62" s="22"/>
      <c r="I62" s="22"/>
      <c r="J62" s="22"/>
      <c r="K62" s="22"/>
      <c r="L62" s="25" t="str">
        <f aca="false">IF($B62="","",$B62+1)</f>
        <v/>
      </c>
      <c r="M62" s="25" t="str">
        <f aca="false">IF($B62="","",$B62+3)</f>
        <v/>
      </c>
      <c r="N62" s="25" t="str">
        <f aca="false">IF($B62="","",$B62+7)</f>
        <v/>
      </c>
      <c r="O62" s="25" t="str">
        <f aca="false">IF($B62="","",$B62+21)</f>
        <v/>
      </c>
      <c r="P62" s="22"/>
      <c r="Q62" s="25" t="str">
        <f aca="false">IF($B62="","",IF(P62&gt;=4,"Done",CHOOSE(P62+1,L62,M62,N62,O62)))</f>
        <v/>
      </c>
      <c r="R62" s="22"/>
    </row>
    <row r="63" customFormat="false" ht="15" hidden="false" customHeight="false" outlineLevel="0" collapsed="false">
      <c r="A63" s="22" t="n">
        <v>62</v>
      </c>
      <c r="B63" s="25"/>
      <c r="C63" s="22"/>
      <c r="D63" s="22"/>
      <c r="E63" s="22"/>
      <c r="F63" s="22"/>
      <c r="G63" s="22"/>
      <c r="H63" s="22"/>
      <c r="I63" s="22"/>
      <c r="J63" s="22"/>
      <c r="K63" s="22"/>
      <c r="L63" s="25" t="str">
        <f aca="false">IF($B63="","",$B63+1)</f>
        <v/>
      </c>
      <c r="M63" s="25" t="str">
        <f aca="false">IF($B63="","",$B63+3)</f>
        <v/>
      </c>
      <c r="N63" s="25" t="str">
        <f aca="false">IF($B63="","",$B63+7)</f>
        <v/>
      </c>
      <c r="O63" s="25" t="str">
        <f aca="false">IF($B63="","",$B63+21)</f>
        <v/>
      </c>
      <c r="P63" s="22"/>
      <c r="Q63" s="25" t="str">
        <f aca="false">IF($B63="","",IF(P63&gt;=4,"Done",CHOOSE(P63+1,L63,M63,N63,O63)))</f>
        <v/>
      </c>
      <c r="R63" s="22"/>
    </row>
    <row r="64" customFormat="false" ht="15" hidden="false" customHeight="false" outlineLevel="0" collapsed="false">
      <c r="A64" s="22" t="n">
        <v>63</v>
      </c>
      <c r="B64" s="25"/>
      <c r="C64" s="22"/>
      <c r="D64" s="22"/>
      <c r="E64" s="22"/>
      <c r="F64" s="22"/>
      <c r="G64" s="22"/>
      <c r="H64" s="22"/>
      <c r="I64" s="22"/>
      <c r="J64" s="22"/>
      <c r="K64" s="22"/>
      <c r="L64" s="25" t="str">
        <f aca="false">IF($B64="","",$B64+1)</f>
        <v/>
      </c>
      <c r="M64" s="25" t="str">
        <f aca="false">IF($B64="","",$B64+3)</f>
        <v/>
      </c>
      <c r="N64" s="25" t="str">
        <f aca="false">IF($B64="","",$B64+7)</f>
        <v/>
      </c>
      <c r="O64" s="25" t="str">
        <f aca="false">IF($B64="","",$B64+21)</f>
        <v/>
      </c>
      <c r="P64" s="22"/>
      <c r="Q64" s="25" t="str">
        <f aca="false">IF($B64="","",IF(P64&gt;=4,"Done",CHOOSE(P64+1,L64,M64,N64,O64)))</f>
        <v/>
      </c>
      <c r="R64" s="22"/>
    </row>
    <row r="65" customFormat="false" ht="15" hidden="false" customHeight="false" outlineLevel="0" collapsed="false">
      <c r="A65" s="22" t="n">
        <v>64</v>
      </c>
      <c r="B65" s="25"/>
      <c r="C65" s="22"/>
      <c r="D65" s="22"/>
      <c r="E65" s="22"/>
      <c r="F65" s="22"/>
      <c r="G65" s="22"/>
      <c r="H65" s="22"/>
      <c r="I65" s="22"/>
      <c r="J65" s="22"/>
      <c r="K65" s="22"/>
      <c r="L65" s="25" t="str">
        <f aca="false">IF($B65="","",$B65+1)</f>
        <v/>
      </c>
      <c r="M65" s="25" t="str">
        <f aca="false">IF($B65="","",$B65+3)</f>
        <v/>
      </c>
      <c r="N65" s="25" t="str">
        <f aca="false">IF($B65="","",$B65+7)</f>
        <v/>
      </c>
      <c r="O65" s="25" t="str">
        <f aca="false">IF($B65="","",$B65+21)</f>
        <v/>
      </c>
      <c r="P65" s="22"/>
      <c r="Q65" s="25" t="str">
        <f aca="false">IF($B65="","",IF(P65&gt;=4,"Done",CHOOSE(P65+1,L65,M65,N65,O65)))</f>
        <v/>
      </c>
      <c r="R65" s="22"/>
    </row>
    <row r="66" customFormat="false" ht="15" hidden="false" customHeight="false" outlineLevel="0" collapsed="false">
      <c r="A66" s="22" t="n">
        <v>65</v>
      </c>
      <c r="B66" s="25"/>
      <c r="C66" s="22"/>
      <c r="D66" s="22"/>
      <c r="E66" s="22"/>
      <c r="F66" s="22"/>
      <c r="G66" s="22"/>
      <c r="H66" s="22"/>
      <c r="I66" s="22"/>
      <c r="J66" s="22"/>
      <c r="K66" s="22"/>
      <c r="L66" s="25" t="str">
        <f aca="false">IF($B66="","",$B66+1)</f>
        <v/>
      </c>
      <c r="M66" s="25" t="str">
        <f aca="false">IF($B66="","",$B66+3)</f>
        <v/>
      </c>
      <c r="N66" s="25" t="str">
        <f aca="false">IF($B66="","",$B66+7)</f>
        <v/>
      </c>
      <c r="O66" s="25" t="str">
        <f aca="false">IF($B66="","",$B66+21)</f>
        <v/>
      </c>
      <c r="P66" s="22"/>
      <c r="Q66" s="25" t="str">
        <f aca="false">IF($B66="","",IF(P66&gt;=4,"Done",CHOOSE(P66+1,L66,M66,N66,O66)))</f>
        <v/>
      </c>
      <c r="R66" s="22"/>
    </row>
    <row r="67" customFormat="false" ht="15" hidden="false" customHeight="false" outlineLevel="0" collapsed="false">
      <c r="A67" s="22" t="n">
        <v>66</v>
      </c>
      <c r="B67" s="25"/>
      <c r="C67" s="22"/>
      <c r="D67" s="22"/>
      <c r="E67" s="22"/>
      <c r="F67" s="22"/>
      <c r="G67" s="22"/>
      <c r="H67" s="22"/>
      <c r="I67" s="22"/>
      <c r="J67" s="22"/>
      <c r="K67" s="22"/>
      <c r="L67" s="25" t="str">
        <f aca="false">IF($B67="","",$B67+1)</f>
        <v/>
      </c>
      <c r="M67" s="25" t="str">
        <f aca="false">IF($B67="","",$B67+3)</f>
        <v/>
      </c>
      <c r="N67" s="25" t="str">
        <f aca="false">IF($B67="","",$B67+7)</f>
        <v/>
      </c>
      <c r="O67" s="25" t="str">
        <f aca="false">IF($B67="","",$B67+21)</f>
        <v/>
      </c>
      <c r="P67" s="22"/>
      <c r="Q67" s="25" t="str">
        <f aca="false">IF($B67="","",IF(P67&gt;=4,"Done",CHOOSE(P67+1,L67,M67,N67,O67)))</f>
        <v/>
      </c>
      <c r="R67" s="22"/>
    </row>
    <row r="68" customFormat="false" ht="15" hidden="false" customHeight="false" outlineLevel="0" collapsed="false">
      <c r="A68" s="22" t="n">
        <v>67</v>
      </c>
      <c r="B68" s="25"/>
      <c r="C68" s="22"/>
      <c r="D68" s="22"/>
      <c r="E68" s="22"/>
      <c r="F68" s="22"/>
      <c r="G68" s="22"/>
      <c r="H68" s="22"/>
      <c r="I68" s="22"/>
      <c r="J68" s="22"/>
      <c r="K68" s="22"/>
      <c r="L68" s="25" t="str">
        <f aca="false">IF($B68="","",$B68+1)</f>
        <v/>
      </c>
      <c r="M68" s="25" t="str">
        <f aca="false">IF($B68="","",$B68+3)</f>
        <v/>
      </c>
      <c r="N68" s="25" t="str">
        <f aca="false">IF($B68="","",$B68+7)</f>
        <v/>
      </c>
      <c r="O68" s="25" t="str">
        <f aca="false">IF($B68="","",$B68+21)</f>
        <v/>
      </c>
      <c r="P68" s="22"/>
      <c r="Q68" s="25" t="str">
        <f aca="false">IF($B68="","",IF(P68&gt;=4,"Done",CHOOSE(P68+1,L68,M68,N68,O68)))</f>
        <v/>
      </c>
      <c r="R68" s="22"/>
    </row>
    <row r="69" customFormat="false" ht="15" hidden="false" customHeight="false" outlineLevel="0" collapsed="false">
      <c r="A69" s="22" t="n">
        <v>68</v>
      </c>
      <c r="B69" s="25"/>
      <c r="C69" s="22"/>
      <c r="D69" s="22"/>
      <c r="E69" s="22"/>
      <c r="F69" s="22"/>
      <c r="G69" s="22"/>
      <c r="H69" s="22"/>
      <c r="I69" s="22"/>
      <c r="J69" s="22"/>
      <c r="K69" s="22"/>
      <c r="L69" s="25" t="str">
        <f aca="false">IF($B69="","",$B69+1)</f>
        <v/>
      </c>
      <c r="M69" s="25" t="str">
        <f aca="false">IF($B69="","",$B69+3)</f>
        <v/>
      </c>
      <c r="N69" s="25" t="str">
        <f aca="false">IF($B69="","",$B69+7)</f>
        <v/>
      </c>
      <c r="O69" s="25" t="str">
        <f aca="false">IF($B69="","",$B69+21)</f>
        <v/>
      </c>
      <c r="P69" s="22"/>
      <c r="Q69" s="25" t="str">
        <f aca="false">IF($B69="","",IF(P69&gt;=4,"Done",CHOOSE(P69+1,L69,M69,N69,O69)))</f>
        <v/>
      </c>
      <c r="R69" s="22"/>
    </row>
    <row r="70" customFormat="false" ht="15" hidden="false" customHeight="false" outlineLevel="0" collapsed="false">
      <c r="A70" s="22" t="n">
        <v>69</v>
      </c>
      <c r="B70" s="25"/>
      <c r="C70" s="22"/>
      <c r="D70" s="22"/>
      <c r="E70" s="22"/>
      <c r="F70" s="22"/>
      <c r="G70" s="22"/>
      <c r="H70" s="22"/>
      <c r="I70" s="22"/>
      <c r="J70" s="22"/>
      <c r="K70" s="22"/>
      <c r="L70" s="25" t="str">
        <f aca="false">IF($B70="","",$B70+1)</f>
        <v/>
      </c>
      <c r="M70" s="25" t="str">
        <f aca="false">IF($B70="","",$B70+3)</f>
        <v/>
      </c>
      <c r="N70" s="25" t="str">
        <f aca="false">IF($B70="","",$B70+7)</f>
        <v/>
      </c>
      <c r="O70" s="25" t="str">
        <f aca="false">IF($B70="","",$B70+21)</f>
        <v/>
      </c>
      <c r="P70" s="22"/>
      <c r="Q70" s="25" t="str">
        <f aca="false">IF($B70="","",IF(P70&gt;=4,"Done",CHOOSE(P70+1,L70,M70,N70,O70)))</f>
        <v/>
      </c>
      <c r="R70" s="22"/>
    </row>
    <row r="71" customFormat="false" ht="15" hidden="false" customHeight="false" outlineLevel="0" collapsed="false">
      <c r="A71" s="22" t="n">
        <v>70</v>
      </c>
      <c r="B71" s="25"/>
      <c r="C71" s="22"/>
      <c r="D71" s="22"/>
      <c r="E71" s="22"/>
      <c r="F71" s="22"/>
      <c r="G71" s="22"/>
      <c r="H71" s="22"/>
      <c r="I71" s="22"/>
      <c r="J71" s="22"/>
      <c r="K71" s="22"/>
      <c r="L71" s="25" t="str">
        <f aca="false">IF($B71="","",$B71+1)</f>
        <v/>
      </c>
      <c r="M71" s="25" t="str">
        <f aca="false">IF($B71="","",$B71+3)</f>
        <v/>
      </c>
      <c r="N71" s="25" t="str">
        <f aca="false">IF($B71="","",$B71+7)</f>
        <v/>
      </c>
      <c r="O71" s="25" t="str">
        <f aca="false">IF($B71="","",$B71+21)</f>
        <v/>
      </c>
      <c r="P71" s="22"/>
      <c r="Q71" s="25" t="str">
        <f aca="false">IF($B71="","",IF(P71&gt;=4,"Done",CHOOSE(P71+1,L71,M71,N71,O71)))</f>
        <v/>
      </c>
      <c r="R71" s="22"/>
    </row>
    <row r="72" customFormat="false" ht="15" hidden="false" customHeight="false" outlineLevel="0" collapsed="false">
      <c r="A72" s="22" t="n">
        <v>71</v>
      </c>
      <c r="B72" s="25"/>
      <c r="C72" s="22"/>
      <c r="D72" s="22"/>
      <c r="E72" s="22"/>
      <c r="F72" s="22"/>
      <c r="G72" s="22"/>
      <c r="H72" s="22"/>
      <c r="I72" s="22"/>
      <c r="J72" s="22"/>
      <c r="K72" s="22"/>
      <c r="L72" s="25" t="str">
        <f aca="false">IF($B72="","",$B72+1)</f>
        <v/>
      </c>
      <c r="M72" s="25" t="str">
        <f aca="false">IF($B72="","",$B72+3)</f>
        <v/>
      </c>
      <c r="N72" s="25" t="str">
        <f aca="false">IF($B72="","",$B72+7)</f>
        <v/>
      </c>
      <c r="O72" s="25" t="str">
        <f aca="false">IF($B72="","",$B72+21)</f>
        <v/>
      </c>
      <c r="P72" s="22"/>
      <c r="Q72" s="25" t="str">
        <f aca="false">IF($B72="","",IF(P72&gt;=4,"Done",CHOOSE(P72+1,L72,M72,N72,O72)))</f>
        <v/>
      </c>
      <c r="R72" s="22"/>
    </row>
    <row r="73" customFormat="false" ht="15" hidden="false" customHeight="false" outlineLevel="0" collapsed="false">
      <c r="A73" s="22" t="n">
        <v>72</v>
      </c>
      <c r="B73" s="25"/>
      <c r="C73" s="22"/>
      <c r="D73" s="22"/>
      <c r="E73" s="22"/>
      <c r="F73" s="22"/>
      <c r="G73" s="22"/>
      <c r="H73" s="22"/>
      <c r="I73" s="22"/>
      <c r="J73" s="22"/>
      <c r="K73" s="22"/>
      <c r="L73" s="25" t="str">
        <f aca="false">IF($B73="","",$B73+1)</f>
        <v/>
      </c>
      <c r="M73" s="25" t="str">
        <f aca="false">IF($B73="","",$B73+3)</f>
        <v/>
      </c>
      <c r="N73" s="25" t="str">
        <f aca="false">IF($B73="","",$B73+7)</f>
        <v/>
      </c>
      <c r="O73" s="25" t="str">
        <f aca="false">IF($B73="","",$B73+21)</f>
        <v/>
      </c>
      <c r="P73" s="22"/>
      <c r="Q73" s="25" t="str">
        <f aca="false">IF($B73="","",IF(P73&gt;=4,"Done",CHOOSE(P73+1,L73,M73,N73,O73)))</f>
        <v/>
      </c>
      <c r="R73" s="22"/>
    </row>
    <row r="74" customFormat="false" ht="15" hidden="false" customHeight="false" outlineLevel="0" collapsed="false">
      <c r="A74" s="22" t="n">
        <v>73</v>
      </c>
      <c r="B74" s="25"/>
      <c r="C74" s="22"/>
      <c r="D74" s="22"/>
      <c r="E74" s="22"/>
      <c r="F74" s="22"/>
      <c r="G74" s="22"/>
      <c r="H74" s="22"/>
      <c r="I74" s="22"/>
      <c r="J74" s="22"/>
      <c r="K74" s="22"/>
      <c r="L74" s="25" t="str">
        <f aca="false">IF($B74="","",$B74+1)</f>
        <v/>
      </c>
      <c r="M74" s="25" t="str">
        <f aca="false">IF($B74="","",$B74+3)</f>
        <v/>
      </c>
      <c r="N74" s="25" t="str">
        <f aca="false">IF($B74="","",$B74+7)</f>
        <v/>
      </c>
      <c r="O74" s="25" t="str">
        <f aca="false">IF($B74="","",$B74+21)</f>
        <v/>
      </c>
      <c r="P74" s="22"/>
      <c r="Q74" s="25" t="str">
        <f aca="false">IF($B74="","",IF(P74&gt;=4,"Done",CHOOSE(P74+1,L74,M74,N74,O74)))</f>
        <v/>
      </c>
      <c r="R74" s="22"/>
    </row>
    <row r="75" customFormat="false" ht="15" hidden="false" customHeight="false" outlineLevel="0" collapsed="false">
      <c r="A75" s="22" t="n">
        <v>74</v>
      </c>
      <c r="B75" s="25"/>
      <c r="C75" s="22"/>
      <c r="D75" s="22"/>
      <c r="E75" s="22"/>
      <c r="F75" s="22"/>
      <c r="G75" s="22"/>
      <c r="H75" s="22"/>
      <c r="I75" s="22"/>
      <c r="J75" s="22"/>
      <c r="K75" s="22"/>
      <c r="L75" s="25" t="str">
        <f aca="false">IF($B75="","",$B75+1)</f>
        <v/>
      </c>
      <c r="M75" s="25" t="str">
        <f aca="false">IF($B75="","",$B75+3)</f>
        <v/>
      </c>
      <c r="N75" s="25" t="str">
        <f aca="false">IF($B75="","",$B75+7)</f>
        <v/>
      </c>
      <c r="O75" s="25" t="str">
        <f aca="false">IF($B75="","",$B75+21)</f>
        <v/>
      </c>
      <c r="P75" s="22"/>
      <c r="Q75" s="25" t="str">
        <f aca="false">IF($B75="","",IF(P75&gt;=4,"Done",CHOOSE(P75+1,L75,M75,N75,O75)))</f>
        <v/>
      </c>
      <c r="R75" s="22"/>
    </row>
    <row r="76" customFormat="false" ht="15" hidden="false" customHeight="false" outlineLevel="0" collapsed="false">
      <c r="A76" s="22" t="n">
        <v>75</v>
      </c>
      <c r="B76" s="25"/>
      <c r="C76" s="22"/>
      <c r="D76" s="22"/>
      <c r="E76" s="22"/>
      <c r="F76" s="22"/>
      <c r="G76" s="22"/>
      <c r="H76" s="22"/>
      <c r="I76" s="22"/>
      <c r="J76" s="22"/>
      <c r="K76" s="22"/>
      <c r="L76" s="25" t="str">
        <f aca="false">IF($B76="","",$B76+1)</f>
        <v/>
      </c>
      <c r="M76" s="25" t="str">
        <f aca="false">IF($B76="","",$B76+3)</f>
        <v/>
      </c>
      <c r="N76" s="25" t="str">
        <f aca="false">IF($B76="","",$B76+7)</f>
        <v/>
      </c>
      <c r="O76" s="25" t="str">
        <f aca="false">IF($B76="","",$B76+21)</f>
        <v/>
      </c>
      <c r="P76" s="22"/>
      <c r="Q76" s="25" t="str">
        <f aca="false">IF($B76="","",IF(P76&gt;=4,"Done",CHOOSE(P76+1,L76,M76,N76,O76)))</f>
        <v/>
      </c>
      <c r="R76" s="22"/>
    </row>
    <row r="77" customFormat="false" ht="15" hidden="false" customHeight="false" outlineLevel="0" collapsed="false">
      <c r="A77" s="22" t="n">
        <v>76</v>
      </c>
      <c r="B77" s="25"/>
      <c r="C77" s="22"/>
      <c r="D77" s="22"/>
      <c r="E77" s="22"/>
      <c r="F77" s="22"/>
      <c r="G77" s="22"/>
      <c r="H77" s="22"/>
      <c r="I77" s="22"/>
      <c r="J77" s="22"/>
      <c r="K77" s="22"/>
      <c r="L77" s="25" t="str">
        <f aca="false">IF($B77="","",$B77+1)</f>
        <v/>
      </c>
      <c r="M77" s="25" t="str">
        <f aca="false">IF($B77="","",$B77+3)</f>
        <v/>
      </c>
      <c r="N77" s="25" t="str">
        <f aca="false">IF($B77="","",$B77+7)</f>
        <v/>
      </c>
      <c r="O77" s="25" t="str">
        <f aca="false">IF($B77="","",$B77+21)</f>
        <v/>
      </c>
      <c r="P77" s="22"/>
      <c r="Q77" s="25" t="str">
        <f aca="false">IF($B77="","",IF(P77&gt;=4,"Done",CHOOSE(P77+1,L77,M77,N77,O77)))</f>
        <v/>
      </c>
      <c r="R77" s="22"/>
    </row>
    <row r="78" customFormat="false" ht="15" hidden="false" customHeight="false" outlineLevel="0" collapsed="false">
      <c r="A78" s="22" t="n">
        <v>77</v>
      </c>
      <c r="B78" s="25"/>
      <c r="C78" s="22"/>
      <c r="D78" s="22"/>
      <c r="E78" s="22"/>
      <c r="F78" s="22"/>
      <c r="G78" s="22"/>
      <c r="H78" s="22"/>
      <c r="I78" s="22"/>
      <c r="J78" s="22"/>
      <c r="K78" s="22"/>
      <c r="L78" s="25" t="str">
        <f aca="false">IF($B78="","",$B78+1)</f>
        <v/>
      </c>
      <c r="M78" s="25" t="str">
        <f aca="false">IF($B78="","",$B78+3)</f>
        <v/>
      </c>
      <c r="N78" s="25" t="str">
        <f aca="false">IF($B78="","",$B78+7)</f>
        <v/>
      </c>
      <c r="O78" s="25" t="str">
        <f aca="false">IF($B78="","",$B78+21)</f>
        <v/>
      </c>
      <c r="P78" s="22"/>
      <c r="Q78" s="25" t="str">
        <f aca="false">IF($B78="","",IF(P78&gt;=4,"Done",CHOOSE(P78+1,L78,M78,N78,O78)))</f>
        <v/>
      </c>
      <c r="R78" s="22"/>
    </row>
    <row r="79" customFormat="false" ht="15" hidden="false" customHeight="false" outlineLevel="0" collapsed="false">
      <c r="A79" s="22" t="n">
        <v>78</v>
      </c>
      <c r="B79" s="25"/>
      <c r="C79" s="22"/>
      <c r="D79" s="22"/>
      <c r="E79" s="22"/>
      <c r="F79" s="22"/>
      <c r="G79" s="22"/>
      <c r="H79" s="22"/>
      <c r="I79" s="22"/>
      <c r="J79" s="22"/>
      <c r="K79" s="22"/>
      <c r="L79" s="25" t="str">
        <f aca="false">IF($B79="","",$B79+1)</f>
        <v/>
      </c>
      <c r="M79" s="25" t="str">
        <f aca="false">IF($B79="","",$B79+3)</f>
        <v/>
      </c>
      <c r="N79" s="25" t="str">
        <f aca="false">IF($B79="","",$B79+7)</f>
        <v/>
      </c>
      <c r="O79" s="25" t="str">
        <f aca="false">IF($B79="","",$B79+21)</f>
        <v/>
      </c>
      <c r="P79" s="22"/>
      <c r="Q79" s="25" t="str">
        <f aca="false">IF($B79="","",IF(P79&gt;=4,"Done",CHOOSE(P79+1,L79,M79,N79,O79)))</f>
        <v/>
      </c>
      <c r="R79" s="22"/>
    </row>
    <row r="80" customFormat="false" ht="15" hidden="false" customHeight="false" outlineLevel="0" collapsed="false">
      <c r="A80" s="22" t="n">
        <v>79</v>
      </c>
      <c r="B80" s="25"/>
      <c r="C80" s="22"/>
      <c r="D80" s="22"/>
      <c r="E80" s="22"/>
      <c r="F80" s="22"/>
      <c r="G80" s="22"/>
      <c r="H80" s="22"/>
      <c r="I80" s="22"/>
      <c r="J80" s="22"/>
      <c r="K80" s="22"/>
      <c r="L80" s="25" t="str">
        <f aca="false">IF($B80="","",$B80+1)</f>
        <v/>
      </c>
      <c r="M80" s="25" t="str">
        <f aca="false">IF($B80="","",$B80+3)</f>
        <v/>
      </c>
      <c r="N80" s="25" t="str">
        <f aca="false">IF($B80="","",$B80+7)</f>
        <v/>
      </c>
      <c r="O80" s="25" t="str">
        <f aca="false">IF($B80="","",$B80+21)</f>
        <v/>
      </c>
      <c r="P80" s="22"/>
      <c r="Q80" s="25" t="str">
        <f aca="false">IF($B80="","",IF(P80&gt;=4,"Done",CHOOSE(P80+1,L80,M80,N80,O80)))</f>
        <v/>
      </c>
      <c r="R80" s="22"/>
    </row>
    <row r="81" customFormat="false" ht="15" hidden="false" customHeight="false" outlineLevel="0" collapsed="false">
      <c r="A81" s="22" t="n">
        <v>80</v>
      </c>
      <c r="B81" s="25"/>
      <c r="C81" s="22"/>
      <c r="D81" s="22"/>
      <c r="E81" s="22"/>
      <c r="F81" s="22"/>
      <c r="G81" s="22"/>
      <c r="H81" s="22"/>
      <c r="I81" s="22"/>
      <c r="J81" s="22"/>
      <c r="K81" s="22"/>
      <c r="L81" s="25" t="str">
        <f aca="false">IF($B81="","",$B81+1)</f>
        <v/>
      </c>
      <c r="M81" s="25" t="str">
        <f aca="false">IF($B81="","",$B81+3)</f>
        <v/>
      </c>
      <c r="N81" s="25" t="str">
        <f aca="false">IF($B81="","",$B81+7)</f>
        <v/>
      </c>
      <c r="O81" s="25" t="str">
        <f aca="false">IF($B81="","",$B81+21)</f>
        <v/>
      </c>
      <c r="P81" s="22"/>
      <c r="Q81" s="25" t="str">
        <f aca="false">IF($B81="","",IF(P81&gt;=4,"Done",CHOOSE(P81+1,L81,M81,N81,O81)))</f>
        <v/>
      </c>
      <c r="R81" s="22"/>
    </row>
    <row r="82" customFormat="false" ht="15" hidden="false" customHeight="false" outlineLevel="0" collapsed="false">
      <c r="A82" s="22" t="n">
        <v>81</v>
      </c>
      <c r="B82" s="25"/>
      <c r="C82" s="22"/>
      <c r="D82" s="22"/>
      <c r="E82" s="22"/>
      <c r="F82" s="22"/>
      <c r="G82" s="22"/>
      <c r="H82" s="22"/>
      <c r="I82" s="22"/>
      <c r="J82" s="22"/>
      <c r="K82" s="22"/>
      <c r="L82" s="25" t="str">
        <f aca="false">IF($B82="","",$B82+1)</f>
        <v/>
      </c>
      <c r="M82" s="25" t="str">
        <f aca="false">IF($B82="","",$B82+3)</f>
        <v/>
      </c>
      <c r="N82" s="25" t="str">
        <f aca="false">IF($B82="","",$B82+7)</f>
        <v/>
      </c>
      <c r="O82" s="25" t="str">
        <f aca="false">IF($B82="","",$B82+21)</f>
        <v/>
      </c>
      <c r="P82" s="22"/>
      <c r="Q82" s="25" t="str">
        <f aca="false">IF($B82="","",IF(P82&gt;=4,"Done",CHOOSE(P82+1,L82,M82,N82,O82)))</f>
        <v/>
      </c>
      <c r="R82" s="22"/>
    </row>
    <row r="83" customFormat="false" ht="15" hidden="false" customHeight="false" outlineLevel="0" collapsed="false">
      <c r="A83" s="22" t="n">
        <v>82</v>
      </c>
      <c r="B83" s="25"/>
      <c r="C83" s="22"/>
      <c r="D83" s="22"/>
      <c r="E83" s="22"/>
      <c r="F83" s="22"/>
      <c r="G83" s="22"/>
      <c r="H83" s="22"/>
      <c r="I83" s="22"/>
      <c r="J83" s="22"/>
      <c r="K83" s="22"/>
      <c r="L83" s="25" t="str">
        <f aca="false">IF($B83="","",$B83+1)</f>
        <v/>
      </c>
      <c r="M83" s="25" t="str">
        <f aca="false">IF($B83="","",$B83+3)</f>
        <v/>
      </c>
      <c r="N83" s="25" t="str">
        <f aca="false">IF($B83="","",$B83+7)</f>
        <v/>
      </c>
      <c r="O83" s="25" t="str">
        <f aca="false">IF($B83="","",$B83+21)</f>
        <v/>
      </c>
      <c r="P83" s="22"/>
      <c r="Q83" s="25" t="str">
        <f aca="false">IF($B83="","",IF(P83&gt;=4,"Done",CHOOSE(P83+1,L83,M83,N83,O83)))</f>
        <v/>
      </c>
      <c r="R83" s="22"/>
    </row>
    <row r="84" customFormat="false" ht="15" hidden="false" customHeight="false" outlineLevel="0" collapsed="false">
      <c r="A84" s="22" t="n">
        <v>83</v>
      </c>
      <c r="B84" s="25"/>
      <c r="C84" s="22"/>
      <c r="D84" s="22"/>
      <c r="E84" s="22"/>
      <c r="F84" s="22"/>
      <c r="G84" s="22"/>
      <c r="H84" s="22"/>
      <c r="I84" s="22"/>
      <c r="J84" s="22"/>
      <c r="K84" s="22"/>
      <c r="L84" s="25" t="str">
        <f aca="false">IF($B84="","",$B84+1)</f>
        <v/>
      </c>
      <c r="M84" s="25" t="str">
        <f aca="false">IF($B84="","",$B84+3)</f>
        <v/>
      </c>
      <c r="N84" s="25" t="str">
        <f aca="false">IF($B84="","",$B84+7)</f>
        <v/>
      </c>
      <c r="O84" s="25" t="str">
        <f aca="false">IF($B84="","",$B84+21)</f>
        <v/>
      </c>
      <c r="P84" s="22"/>
      <c r="Q84" s="25" t="str">
        <f aca="false">IF($B84="","",IF(P84&gt;=4,"Done",CHOOSE(P84+1,L84,M84,N84,O84)))</f>
        <v/>
      </c>
      <c r="R84" s="22"/>
    </row>
    <row r="85" customFormat="false" ht="15" hidden="false" customHeight="false" outlineLevel="0" collapsed="false">
      <c r="A85" s="22" t="n">
        <v>84</v>
      </c>
      <c r="B85" s="25"/>
      <c r="C85" s="22"/>
      <c r="D85" s="22"/>
      <c r="E85" s="22"/>
      <c r="F85" s="22"/>
      <c r="G85" s="22"/>
      <c r="H85" s="22"/>
      <c r="I85" s="22"/>
      <c r="J85" s="22"/>
      <c r="K85" s="22"/>
      <c r="L85" s="25" t="str">
        <f aca="false">IF($B85="","",$B85+1)</f>
        <v/>
      </c>
      <c r="M85" s="25" t="str">
        <f aca="false">IF($B85="","",$B85+3)</f>
        <v/>
      </c>
      <c r="N85" s="25" t="str">
        <f aca="false">IF($B85="","",$B85+7)</f>
        <v/>
      </c>
      <c r="O85" s="25" t="str">
        <f aca="false">IF($B85="","",$B85+21)</f>
        <v/>
      </c>
      <c r="P85" s="22"/>
      <c r="Q85" s="25" t="str">
        <f aca="false">IF($B85="","",IF(P85&gt;=4,"Done",CHOOSE(P85+1,L85,M85,N85,O85)))</f>
        <v/>
      </c>
      <c r="R85" s="22"/>
    </row>
    <row r="86" customFormat="false" ht="15" hidden="false" customHeight="false" outlineLevel="0" collapsed="false">
      <c r="A86" s="22" t="n">
        <v>85</v>
      </c>
      <c r="B86" s="25"/>
      <c r="C86" s="22"/>
      <c r="D86" s="22"/>
      <c r="E86" s="22"/>
      <c r="F86" s="22"/>
      <c r="G86" s="22"/>
      <c r="H86" s="22"/>
      <c r="I86" s="22"/>
      <c r="J86" s="22"/>
      <c r="K86" s="22"/>
      <c r="L86" s="25" t="str">
        <f aca="false">IF($B86="","",$B86+1)</f>
        <v/>
      </c>
      <c r="M86" s="25" t="str">
        <f aca="false">IF($B86="","",$B86+3)</f>
        <v/>
      </c>
      <c r="N86" s="25" t="str">
        <f aca="false">IF($B86="","",$B86+7)</f>
        <v/>
      </c>
      <c r="O86" s="25" t="str">
        <f aca="false">IF($B86="","",$B86+21)</f>
        <v/>
      </c>
      <c r="P86" s="22"/>
      <c r="Q86" s="25" t="str">
        <f aca="false">IF($B86="","",IF(P86&gt;=4,"Done",CHOOSE(P86+1,L86,M86,N86,O86)))</f>
        <v/>
      </c>
      <c r="R86" s="22"/>
    </row>
    <row r="87" customFormat="false" ht="15" hidden="false" customHeight="false" outlineLevel="0" collapsed="false">
      <c r="A87" s="22" t="n">
        <v>86</v>
      </c>
      <c r="B87" s="25"/>
      <c r="C87" s="22"/>
      <c r="D87" s="22"/>
      <c r="E87" s="22"/>
      <c r="F87" s="22"/>
      <c r="G87" s="22"/>
      <c r="H87" s="22"/>
      <c r="I87" s="22"/>
      <c r="J87" s="22"/>
      <c r="K87" s="22"/>
      <c r="L87" s="25" t="str">
        <f aca="false">IF($B87="","",$B87+1)</f>
        <v/>
      </c>
      <c r="M87" s="25" t="str">
        <f aca="false">IF($B87="","",$B87+3)</f>
        <v/>
      </c>
      <c r="N87" s="25" t="str">
        <f aca="false">IF($B87="","",$B87+7)</f>
        <v/>
      </c>
      <c r="O87" s="25" t="str">
        <f aca="false">IF($B87="","",$B87+21)</f>
        <v/>
      </c>
      <c r="P87" s="22"/>
      <c r="Q87" s="25" t="str">
        <f aca="false">IF($B87="","",IF(P87&gt;=4,"Done",CHOOSE(P87+1,L87,M87,N87,O87)))</f>
        <v/>
      </c>
      <c r="R87" s="22"/>
    </row>
    <row r="88" customFormat="false" ht="15" hidden="false" customHeight="false" outlineLevel="0" collapsed="false">
      <c r="A88" s="22" t="n">
        <v>87</v>
      </c>
      <c r="B88" s="25"/>
      <c r="C88" s="22"/>
      <c r="D88" s="22"/>
      <c r="E88" s="22"/>
      <c r="F88" s="22"/>
      <c r="G88" s="22"/>
      <c r="H88" s="22"/>
      <c r="I88" s="22"/>
      <c r="J88" s="22"/>
      <c r="K88" s="22"/>
      <c r="L88" s="25" t="str">
        <f aca="false">IF($B88="","",$B88+1)</f>
        <v/>
      </c>
      <c r="M88" s="25" t="str">
        <f aca="false">IF($B88="","",$B88+3)</f>
        <v/>
      </c>
      <c r="N88" s="25" t="str">
        <f aca="false">IF($B88="","",$B88+7)</f>
        <v/>
      </c>
      <c r="O88" s="25" t="str">
        <f aca="false">IF($B88="","",$B88+21)</f>
        <v/>
      </c>
      <c r="P88" s="22"/>
      <c r="Q88" s="25" t="str">
        <f aca="false">IF($B88="","",IF(P88&gt;=4,"Done",CHOOSE(P88+1,L88,M88,N88,O88)))</f>
        <v/>
      </c>
      <c r="R88" s="22"/>
    </row>
    <row r="89" customFormat="false" ht="15" hidden="false" customHeight="false" outlineLevel="0" collapsed="false">
      <c r="A89" s="22" t="n">
        <v>88</v>
      </c>
      <c r="B89" s="25"/>
      <c r="C89" s="22"/>
      <c r="D89" s="22"/>
      <c r="E89" s="22"/>
      <c r="F89" s="22"/>
      <c r="G89" s="22"/>
      <c r="H89" s="22"/>
      <c r="I89" s="22"/>
      <c r="J89" s="22"/>
      <c r="K89" s="22"/>
      <c r="L89" s="25" t="str">
        <f aca="false">IF($B89="","",$B89+1)</f>
        <v/>
      </c>
      <c r="M89" s="25" t="str">
        <f aca="false">IF($B89="","",$B89+3)</f>
        <v/>
      </c>
      <c r="N89" s="25" t="str">
        <f aca="false">IF($B89="","",$B89+7)</f>
        <v/>
      </c>
      <c r="O89" s="25" t="str">
        <f aca="false">IF($B89="","",$B89+21)</f>
        <v/>
      </c>
      <c r="P89" s="22"/>
      <c r="Q89" s="25" t="str">
        <f aca="false">IF($B89="","",IF(P89&gt;=4,"Done",CHOOSE(P89+1,L89,M89,N89,O89)))</f>
        <v/>
      </c>
      <c r="R89" s="22"/>
    </row>
    <row r="90" customFormat="false" ht="15" hidden="false" customHeight="false" outlineLevel="0" collapsed="false">
      <c r="A90" s="22" t="n">
        <v>89</v>
      </c>
      <c r="B90" s="25"/>
      <c r="C90" s="22"/>
      <c r="D90" s="22"/>
      <c r="E90" s="22"/>
      <c r="F90" s="22"/>
      <c r="G90" s="22"/>
      <c r="H90" s="22"/>
      <c r="I90" s="22"/>
      <c r="J90" s="22"/>
      <c r="K90" s="22"/>
      <c r="L90" s="25" t="str">
        <f aca="false">IF($B90="","",$B90+1)</f>
        <v/>
      </c>
      <c r="M90" s="25" t="str">
        <f aca="false">IF($B90="","",$B90+3)</f>
        <v/>
      </c>
      <c r="N90" s="25" t="str">
        <f aca="false">IF($B90="","",$B90+7)</f>
        <v/>
      </c>
      <c r="O90" s="25" t="str">
        <f aca="false">IF($B90="","",$B90+21)</f>
        <v/>
      </c>
      <c r="P90" s="22"/>
      <c r="Q90" s="25" t="str">
        <f aca="false">IF($B90="","",IF(P90&gt;=4,"Done",CHOOSE(P90+1,L90,M90,N90,O90)))</f>
        <v/>
      </c>
      <c r="R90" s="22"/>
    </row>
    <row r="91" customFormat="false" ht="15" hidden="false" customHeight="false" outlineLevel="0" collapsed="false">
      <c r="A91" s="22" t="n">
        <v>90</v>
      </c>
      <c r="B91" s="25"/>
      <c r="C91" s="22"/>
      <c r="D91" s="22"/>
      <c r="E91" s="22"/>
      <c r="F91" s="22"/>
      <c r="G91" s="22"/>
      <c r="H91" s="22"/>
      <c r="I91" s="22"/>
      <c r="J91" s="22"/>
      <c r="K91" s="22"/>
      <c r="L91" s="25" t="str">
        <f aca="false">IF($B91="","",$B91+1)</f>
        <v/>
      </c>
      <c r="M91" s="25" t="str">
        <f aca="false">IF($B91="","",$B91+3)</f>
        <v/>
      </c>
      <c r="N91" s="25" t="str">
        <f aca="false">IF($B91="","",$B91+7)</f>
        <v/>
      </c>
      <c r="O91" s="25" t="str">
        <f aca="false">IF($B91="","",$B91+21)</f>
        <v/>
      </c>
      <c r="P91" s="22"/>
      <c r="Q91" s="25" t="str">
        <f aca="false">IF($B91="","",IF(P91&gt;=4,"Done",CHOOSE(P91+1,L91,M91,N91,O91)))</f>
        <v/>
      </c>
      <c r="R91" s="22"/>
    </row>
    <row r="92" customFormat="false" ht="15" hidden="false" customHeight="false" outlineLevel="0" collapsed="false">
      <c r="A92" s="22" t="n">
        <v>91</v>
      </c>
      <c r="B92" s="25"/>
      <c r="C92" s="22"/>
      <c r="D92" s="22"/>
      <c r="E92" s="22"/>
      <c r="F92" s="22"/>
      <c r="G92" s="22"/>
      <c r="H92" s="22"/>
      <c r="I92" s="22"/>
      <c r="J92" s="22"/>
      <c r="K92" s="22"/>
      <c r="L92" s="25" t="str">
        <f aca="false">IF($B92="","",$B92+1)</f>
        <v/>
      </c>
      <c r="M92" s="25" t="str">
        <f aca="false">IF($B92="","",$B92+3)</f>
        <v/>
      </c>
      <c r="N92" s="25" t="str">
        <f aca="false">IF($B92="","",$B92+7)</f>
        <v/>
      </c>
      <c r="O92" s="25" t="str">
        <f aca="false">IF($B92="","",$B92+21)</f>
        <v/>
      </c>
      <c r="P92" s="22"/>
      <c r="Q92" s="25" t="str">
        <f aca="false">IF($B92="","",IF(P92&gt;=4,"Done",CHOOSE(P92+1,L92,M92,N92,O92)))</f>
        <v/>
      </c>
      <c r="R92" s="22"/>
    </row>
    <row r="93" customFormat="false" ht="15" hidden="false" customHeight="false" outlineLevel="0" collapsed="false">
      <c r="A93" s="22" t="n">
        <v>92</v>
      </c>
      <c r="B93" s="25"/>
      <c r="C93" s="22"/>
      <c r="D93" s="22"/>
      <c r="E93" s="22"/>
      <c r="F93" s="22"/>
      <c r="G93" s="22"/>
      <c r="H93" s="22"/>
      <c r="I93" s="22"/>
      <c r="J93" s="22"/>
      <c r="K93" s="22"/>
      <c r="L93" s="25" t="str">
        <f aca="false">IF($B93="","",$B93+1)</f>
        <v/>
      </c>
      <c r="M93" s="25" t="str">
        <f aca="false">IF($B93="","",$B93+3)</f>
        <v/>
      </c>
      <c r="N93" s="25" t="str">
        <f aca="false">IF($B93="","",$B93+7)</f>
        <v/>
      </c>
      <c r="O93" s="25" t="str">
        <f aca="false">IF($B93="","",$B93+21)</f>
        <v/>
      </c>
      <c r="P93" s="22"/>
      <c r="Q93" s="25" t="str">
        <f aca="false">IF($B93="","",IF(P93&gt;=4,"Done",CHOOSE(P93+1,L93,M93,N93,O93)))</f>
        <v/>
      </c>
      <c r="R93" s="22"/>
    </row>
    <row r="94" customFormat="false" ht="15" hidden="false" customHeight="false" outlineLevel="0" collapsed="false">
      <c r="A94" s="22" t="n">
        <v>93</v>
      </c>
      <c r="B94" s="25"/>
      <c r="C94" s="22"/>
      <c r="D94" s="22"/>
      <c r="E94" s="22"/>
      <c r="F94" s="22"/>
      <c r="G94" s="22"/>
      <c r="H94" s="22"/>
      <c r="I94" s="22"/>
      <c r="J94" s="22"/>
      <c r="K94" s="22"/>
      <c r="L94" s="25" t="str">
        <f aca="false">IF($B94="","",$B94+1)</f>
        <v/>
      </c>
      <c r="M94" s="25" t="str">
        <f aca="false">IF($B94="","",$B94+3)</f>
        <v/>
      </c>
      <c r="N94" s="25" t="str">
        <f aca="false">IF($B94="","",$B94+7)</f>
        <v/>
      </c>
      <c r="O94" s="25" t="str">
        <f aca="false">IF($B94="","",$B94+21)</f>
        <v/>
      </c>
      <c r="P94" s="22"/>
      <c r="Q94" s="25" t="str">
        <f aca="false">IF($B94="","",IF(P94&gt;=4,"Done",CHOOSE(P94+1,L94,M94,N94,O94)))</f>
        <v/>
      </c>
      <c r="R94" s="22"/>
    </row>
    <row r="95" customFormat="false" ht="15" hidden="false" customHeight="false" outlineLevel="0" collapsed="false">
      <c r="A95" s="22" t="n">
        <v>94</v>
      </c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5" t="str">
        <f aca="false">IF($B95="","",$B95+1)</f>
        <v/>
      </c>
      <c r="M95" s="25" t="str">
        <f aca="false">IF($B95="","",$B95+3)</f>
        <v/>
      </c>
      <c r="N95" s="25" t="str">
        <f aca="false">IF($B95="","",$B95+7)</f>
        <v/>
      </c>
      <c r="O95" s="25" t="str">
        <f aca="false">IF($B95="","",$B95+21)</f>
        <v/>
      </c>
      <c r="P95" s="22"/>
      <c r="Q95" s="25" t="str">
        <f aca="false">IF($B95="","",IF(P95&gt;=4,"Done",CHOOSE(P95+1,L95,M95,N95,O95)))</f>
        <v/>
      </c>
      <c r="R95" s="22"/>
    </row>
    <row r="96" customFormat="false" ht="15" hidden="false" customHeight="false" outlineLevel="0" collapsed="false">
      <c r="A96" s="22" t="n">
        <v>95</v>
      </c>
      <c r="B96" s="25"/>
      <c r="C96" s="22"/>
      <c r="D96" s="22"/>
      <c r="E96" s="22"/>
      <c r="F96" s="22"/>
      <c r="G96" s="22"/>
      <c r="H96" s="22"/>
      <c r="I96" s="22"/>
      <c r="J96" s="22"/>
      <c r="K96" s="22"/>
      <c r="L96" s="25" t="str">
        <f aca="false">IF($B96="","",$B96+1)</f>
        <v/>
      </c>
      <c r="M96" s="25" t="str">
        <f aca="false">IF($B96="","",$B96+3)</f>
        <v/>
      </c>
      <c r="N96" s="25" t="str">
        <f aca="false">IF($B96="","",$B96+7)</f>
        <v/>
      </c>
      <c r="O96" s="25" t="str">
        <f aca="false">IF($B96="","",$B96+21)</f>
        <v/>
      </c>
      <c r="P96" s="22"/>
      <c r="Q96" s="25" t="str">
        <f aca="false">IF($B96="","",IF(P96&gt;=4,"Done",CHOOSE(P96+1,L96,M96,N96,O96)))</f>
        <v/>
      </c>
      <c r="R96" s="22"/>
    </row>
    <row r="97" customFormat="false" ht="15" hidden="false" customHeight="false" outlineLevel="0" collapsed="false">
      <c r="A97" s="22" t="n">
        <v>96</v>
      </c>
      <c r="B97" s="25"/>
      <c r="C97" s="22"/>
      <c r="D97" s="22"/>
      <c r="E97" s="22"/>
      <c r="F97" s="22"/>
      <c r="G97" s="22"/>
      <c r="H97" s="22"/>
      <c r="I97" s="22"/>
      <c r="J97" s="22"/>
      <c r="K97" s="22"/>
      <c r="L97" s="25" t="str">
        <f aca="false">IF($B97="","",$B97+1)</f>
        <v/>
      </c>
      <c r="M97" s="25" t="str">
        <f aca="false">IF($B97="","",$B97+3)</f>
        <v/>
      </c>
      <c r="N97" s="25" t="str">
        <f aca="false">IF($B97="","",$B97+7)</f>
        <v/>
      </c>
      <c r="O97" s="25" t="str">
        <f aca="false">IF($B97="","",$B97+21)</f>
        <v/>
      </c>
      <c r="P97" s="22"/>
      <c r="Q97" s="25" t="str">
        <f aca="false">IF($B97="","",IF(P97&gt;=4,"Done",CHOOSE(P97+1,L97,M97,N97,O97)))</f>
        <v/>
      </c>
      <c r="R97" s="22"/>
    </row>
    <row r="98" customFormat="false" ht="15" hidden="false" customHeight="false" outlineLevel="0" collapsed="false">
      <c r="A98" s="22" t="n">
        <v>97</v>
      </c>
      <c r="B98" s="25"/>
      <c r="C98" s="22"/>
      <c r="D98" s="22"/>
      <c r="E98" s="22"/>
      <c r="F98" s="22"/>
      <c r="G98" s="22"/>
      <c r="H98" s="22"/>
      <c r="I98" s="22"/>
      <c r="J98" s="22"/>
      <c r="K98" s="22"/>
      <c r="L98" s="25" t="str">
        <f aca="false">IF($B98="","",$B98+1)</f>
        <v/>
      </c>
      <c r="M98" s="25" t="str">
        <f aca="false">IF($B98="","",$B98+3)</f>
        <v/>
      </c>
      <c r="N98" s="25" t="str">
        <f aca="false">IF($B98="","",$B98+7)</f>
        <v/>
      </c>
      <c r="O98" s="25" t="str">
        <f aca="false">IF($B98="","",$B98+21)</f>
        <v/>
      </c>
      <c r="P98" s="22"/>
      <c r="Q98" s="25" t="str">
        <f aca="false">IF($B98="","",IF(P98&gt;=4,"Done",CHOOSE(P98+1,L98,M98,N98,O98)))</f>
        <v/>
      </c>
      <c r="R98" s="22"/>
    </row>
    <row r="99" customFormat="false" ht="15" hidden="false" customHeight="false" outlineLevel="0" collapsed="false">
      <c r="A99" s="22" t="n">
        <v>98</v>
      </c>
      <c r="B99" s="25"/>
      <c r="C99" s="22"/>
      <c r="D99" s="22"/>
      <c r="E99" s="22"/>
      <c r="F99" s="22"/>
      <c r="G99" s="22"/>
      <c r="H99" s="22"/>
      <c r="I99" s="22"/>
      <c r="J99" s="22"/>
      <c r="K99" s="22"/>
      <c r="L99" s="25" t="str">
        <f aca="false">IF($B99="","",$B99+1)</f>
        <v/>
      </c>
      <c r="M99" s="25" t="str">
        <f aca="false">IF($B99="","",$B99+3)</f>
        <v/>
      </c>
      <c r="N99" s="25" t="str">
        <f aca="false">IF($B99="","",$B99+7)</f>
        <v/>
      </c>
      <c r="O99" s="25" t="str">
        <f aca="false">IF($B99="","",$B99+21)</f>
        <v/>
      </c>
      <c r="P99" s="22"/>
      <c r="Q99" s="25" t="str">
        <f aca="false">IF($B99="","",IF(P99&gt;=4,"Done",CHOOSE(P99+1,L99,M99,N99,O99)))</f>
        <v/>
      </c>
      <c r="R99" s="22"/>
    </row>
    <row r="100" customFormat="false" ht="15" hidden="false" customHeight="false" outlineLevel="0" collapsed="false">
      <c r="A100" s="22" t="n">
        <v>99</v>
      </c>
      <c r="B100" s="25"/>
      <c r="C100" s="22"/>
      <c r="D100" s="22"/>
      <c r="E100" s="22"/>
      <c r="F100" s="22"/>
      <c r="G100" s="22"/>
      <c r="H100" s="22"/>
      <c r="I100" s="22"/>
      <c r="J100" s="22"/>
      <c r="K100" s="22"/>
      <c r="L100" s="25" t="str">
        <f aca="false">IF($B100="","",$B100+1)</f>
        <v/>
      </c>
      <c r="M100" s="25" t="str">
        <f aca="false">IF($B100="","",$B100+3)</f>
        <v/>
      </c>
      <c r="N100" s="25" t="str">
        <f aca="false">IF($B100="","",$B100+7)</f>
        <v/>
      </c>
      <c r="O100" s="25" t="str">
        <f aca="false">IF($B100="","",$B100+21)</f>
        <v/>
      </c>
      <c r="P100" s="22"/>
      <c r="Q100" s="25" t="str">
        <f aca="false">IF($B100="","",IF(P100&gt;=4,"Done",CHOOSE(P100+1,L100,M100,N100,O100)))</f>
        <v/>
      </c>
      <c r="R100" s="22"/>
    </row>
    <row r="101" customFormat="false" ht="15" hidden="false" customHeight="false" outlineLevel="0" collapsed="false">
      <c r="A101" s="22" t="n">
        <v>100</v>
      </c>
      <c r="B101" s="25"/>
      <c r="C101" s="22"/>
      <c r="D101" s="22"/>
      <c r="E101" s="22"/>
      <c r="F101" s="22"/>
      <c r="G101" s="22"/>
      <c r="H101" s="22"/>
      <c r="I101" s="22"/>
      <c r="J101" s="22"/>
      <c r="K101" s="22"/>
      <c r="L101" s="25" t="str">
        <f aca="false">IF($B101="","",$B101+1)</f>
        <v/>
      </c>
      <c r="M101" s="25" t="str">
        <f aca="false">IF($B101="","",$B101+3)</f>
        <v/>
      </c>
      <c r="N101" s="25" t="str">
        <f aca="false">IF($B101="","",$B101+7)</f>
        <v/>
      </c>
      <c r="O101" s="25" t="str">
        <f aca="false">IF($B101="","",$B101+21)</f>
        <v/>
      </c>
      <c r="P101" s="22"/>
      <c r="Q101" s="25" t="str">
        <f aca="false">IF($B101="","",IF(P101&gt;=4,"Done",CHOOSE(P101+1,L101,M101,N101,O101)))</f>
        <v/>
      </c>
      <c r="R101" s="22"/>
    </row>
    <row r="102" customFormat="false" ht="15" hidden="false" customHeight="false" outlineLevel="0" collapsed="false">
      <c r="A102" s="22" t="n">
        <v>101</v>
      </c>
      <c r="B102" s="25"/>
      <c r="C102" s="22"/>
      <c r="D102" s="22"/>
      <c r="E102" s="22"/>
      <c r="F102" s="22"/>
      <c r="G102" s="22"/>
      <c r="H102" s="22"/>
      <c r="I102" s="22"/>
      <c r="J102" s="22"/>
      <c r="K102" s="22"/>
      <c r="L102" s="25" t="str">
        <f aca="false">IF($B102="","",$B102+1)</f>
        <v/>
      </c>
      <c r="M102" s="25" t="str">
        <f aca="false">IF($B102="","",$B102+3)</f>
        <v/>
      </c>
      <c r="N102" s="25" t="str">
        <f aca="false">IF($B102="","",$B102+7)</f>
        <v/>
      </c>
      <c r="O102" s="25" t="str">
        <f aca="false">IF($B102="","",$B102+21)</f>
        <v/>
      </c>
      <c r="P102" s="22"/>
      <c r="Q102" s="25" t="str">
        <f aca="false">IF($B102="","",IF(P102&gt;=4,"Done",CHOOSE(P102+1,L102,M102,N102,O102)))</f>
        <v/>
      </c>
      <c r="R102" s="22"/>
    </row>
    <row r="103" customFormat="false" ht="15" hidden="false" customHeight="false" outlineLevel="0" collapsed="false">
      <c r="A103" s="22" t="n">
        <v>102</v>
      </c>
      <c r="B103" s="25"/>
      <c r="C103" s="22"/>
      <c r="D103" s="22"/>
      <c r="E103" s="22"/>
      <c r="F103" s="22"/>
      <c r="G103" s="22"/>
      <c r="H103" s="22"/>
      <c r="I103" s="22"/>
      <c r="J103" s="22"/>
      <c r="K103" s="22"/>
      <c r="L103" s="25" t="str">
        <f aca="false">IF($B103="","",$B103+1)</f>
        <v/>
      </c>
      <c r="M103" s="25" t="str">
        <f aca="false">IF($B103="","",$B103+3)</f>
        <v/>
      </c>
      <c r="N103" s="25" t="str">
        <f aca="false">IF($B103="","",$B103+7)</f>
        <v/>
      </c>
      <c r="O103" s="25" t="str">
        <f aca="false">IF($B103="","",$B103+21)</f>
        <v/>
      </c>
      <c r="P103" s="22"/>
      <c r="Q103" s="25" t="str">
        <f aca="false">IF($B103="","",IF(P103&gt;=4,"Done",CHOOSE(P103+1,L103,M103,N103,O103)))</f>
        <v/>
      </c>
      <c r="R103" s="22"/>
    </row>
    <row r="104" customFormat="false" ht="15" hidden="false" customHeight="false" outlineLevel="0" collapsed="false">
      <c r="A104" s="22" t="n">
        <v>103</v>
      </c>
      <c r="B104" s="25"/>
      <c r="C104" s="22"/>
      <c r="D104" s="22"/>
      <c r="E104" s="22"/>
      <c r="F104" s="22"/>
      <c r="G104" s="22"/>
      <c r="H104" s="22"/>
      <c r="I104" s="22"/>
      <c r="J104" s="22"/>
      <c r="K104" s="22"/>
      <c r="L104" s="25" t="str">
        <f aca="false">IF($B104="","",$B104+1)</f>
        <v/>
      </c>
      <c r="M104" s="25" t="str">
        <f aca="false">IF($B104="","",$B104+3)</f>
        <v/>
      </c>
      <c r="N104" s="25" t="str">
        <f aca="false">IF($B104="","",$B104+7)</f>
        <v/>
      </c>
      <c r="O104" s="25" t="str">
        <f aca="false">IF($B104="","",$B104+21)</f>
        <v/>
      </c>
      <c r="P104" s="22"/>
      <c r="Q104" s="25" t="str">
        <f aca="false">IF($B104="","",IF(P104&gt;=4,"Done",CHOOSE(P104+1,L104,M104,N104,O104)))</f>
        <v/>
      </c>
      <c r="R104" s="22"/>
    </row>
    <row r="105" customFormat="false" ht="15" hidden="false" customHeight="false" outlineLevel="0" collapsed="false">
      <c r="A105" s="22" t="n">
        <v>104</v>
      </c>
      <c r="B105" s="25"/>
      <c r="C105" s="22"/>
      <c r="D105" s="22"/>
      <c r="E105" s="22"/>
      <c r="F105" s="22"/>
      <c r="G105" s="22"/>
      <c r="H105" s="22"/>
      <c r="I105" s="22"/>
      <c r="J105" s="22"/>
      <c r="K105" s="22"/>
      <c r="L105" s="25" t="str">
        <f aca="false">IF($B105="","",$B105+1)</f>
        <v/>
      </c>
      <c r="M105" s="25" t="str">
        <f aca="false">IF($B105="","",$B105+3)</f>
        <v/>
      </c>
      <c r="N105" s="25" t="str">
        <f aca="false">IF($B105="","",$B105+7)</f>
        <v/>
      </c>
      <c r="O105" s="25" t="str">
        <f aca="false">IF($B105="","",$B105+21)</f>
        <v/>
      </c>
      <c r="P105" s="22"/>
      <c r="Q105" s="25" t="str">
        <f aca="false">IF($B105="","",IF(P105&gt;=4,"Done",CHOOSE(P105+1,L105,M105,N105,O105)))</f>
        <v/>
      </c>
      <c r="R105" s="22"/>
    </row>
    <row r="106" customFormat="false" ht="15" hidden="false" customHeight="false" outlineLevel="0" collapsed="false">
      <c r="A106" s="22" t="n">
        <v>105</v>
      </c>
      <c r="B106" s="25"/>
      <c r="C106" s="22"/>
      <c r="D106" s="22"/>
      <c r="E106" s="22"/>
      <c r="F106" s="22"/>
      <c r="G106" s="22"/>
      <c r="H106" s="22"/>
      <c r="I106" s="22"/>
      <c r="J106" s="22"/>
      <c r="K106" s="22"/>
      <c r="L106" s="25" t="str">
        <f aca="false">IF($B106="","",$B106+1)</f>
        <v/>
      </c>
      <c r="M106" s="25" t="str">
        <f aca="false">IF($B106="","",$B106+3)</f>
        <v/>
      </c>
      <c r="N106" s="25" t="str">
        <f aca="false">IF($B106="","",$B106+7)</f>
        <v/>
      </c>
      <c r="O106" s="25" t="str">
        <f aca="false">IF($B106="","",$B106+21)</f>
        <v/>
      </c>
      <c r="P106" s="22"/>
      <c r="Q106" s="25" t="str">
        <f aca="false">IF($B106="","",IF(P106&gt;=4,"Done",CHOOSE(P106+1,L106,M106,N106,O106)))</f>
        <v/>
      </c>
      <c r="R106" s="22"/>
    </row>
    <row r="107" customFormat="false" ht="15" hidden="false" customHeight="false" outlineLevel="0" collapsed="false">
      <c r="A107" s="22" t="n">
        <v>106</v>
      </c>
      <c r="B107" s="25"/>
      <c r="C107" s="22"/>
      <c r="D107" s="22"/>
      <c r="E107" s="22"/>
      <c r="F107" s="22"/>
      <c r="G107" s="22"/>
      <c r="H107" s="22"/>
      <c r="I107" s="22"/>
      <c r="J107" s="22"/>
      <c r="K107" s="22"/>
      <c r="L107" s="25" t="str">
        <f aca="false">IF($B107="","",$B107+1)</f>
        <v/>
      </c>
      <c r="M107" s="25" t="str">
        <f aca="false">IF($B107="","",$B107+3)</f>
        <v/>
      </c>
      <c r="N107" s="25" t="str">
        <f aca="false">IF($B107="","",$B107+7)</f>
        <v/>
      </c>
      <c r="O107" s="25" t="str">
        <f aca="false">IF($B107="","",$B107+21)</f>
        <v/>
      </c>
      <c r="P107" s="22"/>
      <c r="Q107" s="25" t="str">
        <f aca="false">IF($B107="","",IF(P107&gt;=4,"Done",CHOOSE(P107+1,L107,M107,N107,O107)))</f>
        <v/>
      </c>
      <c r="R107" s="22"/>
    </row>
    <row r="108" customFormat="false" ht="15" hidden="false" customHeight="false" outlineLevel="0" collapsed="false">
      <c r="A108" s="22" t="n">
        <v>107</v>
      </c>
      <c r="B108" s="25"/>
      <c r="C108" s="22"/>
      <c r="D108" s="22"/>
      <c r="E108" s="22"/>
      <c r="F108" s="22"/>
      <c r="G108" s="22"/>
      <c r="H108" s="22"/>
      <c r="I108" s="22"/>
      <c r="J108" s="22"/>
      <c r="K108" s="22"/>
      <c r="L108" s="25" t="str">
        <f aca="false">IF($B108="","",$B108+1)</f>
        <v/>
      </c>
      <c r="M108" s="25" t="str">
        <f aca="false">IF($B108="","",$B108+3)</f>
        <v/>
      </c>
      <c r="N108" s="25" t="str">
        <f aca="false">IF($B108="","",$B108+7)</f>
        <v/>
      </c>
      <c r="O108" s="25" t="str">
        <f aca="false">IF($B108="","",$B108+21)</f>
        <v/>
      </c>
      <c r="P108" s="22"/>
      <c r="Q108" s="25" t="str">
        <f aca="false">IF($B108="","",IF(P108&gt;=4,"Done",CHOOSE(P108+1,L108,M108,N108,O108)))</f>
        <v/>
      </c>
      <c r="R108" s="22"/>
    </row>
    <row r="109" customFormat="false" ht="15" hidden="false" customHeight="false" outlineLevel="0" collapsed="false">
      <c r="A109" s="22" t="n">
        <v>108</v>
      </c>
      <c r="B109" s="25"/>
      <c r="C109" s="22"/>
      <c r="D109" s="22"/>
      <c r="E109" s="22"/>
      <c r="F109" s="22"/>
      <c r="G109" s="22"/>
      <c r="H109" s="22"/>
      <c r="I109" s="22"/>
      <c r="J109" s="22"/>
      <c r="K109" s="22"/>
      <c r="L109" s="25" t="str">
        <f aca="false">IF($B109="","",$B109+1)</f>
        <v/>
      </c>
      <c r="M109" s="25" t="str">
        <f aca="false">IF($B109="","",$B109+3)</f>
        <v/>
      </c>
      <c r="N109" s="25" t="str">
        <f aca="false">IF($B109="","",$B109+7)</f>
        <v/>
      </c>
      <c r="O109" s="25" t="str">
        <f aca="false">IF($B109="","",$B109+21)</f>
        <v/>
      </c>
      <c r="P109" s="22"/>
      <c r="Q109" s="25" t="str">
        <f aca="false">IF($B109="","",IF(P109&gt;=4,"Done",CHOOSE(P109+1,L109,M109,N109,O109)))</f>
        <v/>
      </c>
      <c r="R109" s="22"/>
    </row>
    <row r="110" customFormat="false" ht="15" hidden="false" customHeight="false" outlineLevel="0" collapsed="false">
      <c r="A110" s="22" t="n">
        <v>109</v>
      </c>
      <c r="B110" s="25"/>
      <c r="C110" s="22"/>
      <c r="D110" s="22"/>
      <c r="E110" s="22"/>
      <c r="F110" s="22"/>
      <c r="G110" s="22"/>
      <c r="H110" s="22"/>
      <c r="I110" s="22"/>
      <c r="J110" s="22"/>
      <c r="K110" s="22"/>
      <c r="L110" s="25" t="str">
        <f aca="false">IF($B110="","",$B110+1)</f>
        <v/>
      </c>
      <c r="M110" s="25" t="str">
        <f aca="false">IF($B110="","",$B110+3)</f>
        <v/>
      </c>
      <c r="N110" s="25" t="str">
        <f aca="false">IF($B110="","",$B110+7)</f>
        <v/>
      </c>
      <c r="O110" s="25" t="str">
        <f aca="false">IF($B110="","",$B110+21)</f>
        <v/>
      </c>
      <c r="P110" s="22"/>
      <c r="Q110" s="25" t="str">
        <f aca="false">IF($B110="","",IF(P110&gt;=4,"Done",CHOOSE(P110+1,L110,M110,N110,O110)))</f>
        <v/>
      </c>
      <c r="R110" s="22"/>
    </row>
    <row r="111" customFormat="false" ht="15" hidden="false" customHeight="false" outlineLevel="0" collapsed="false">
      <c r="A111" s="22" t="n">
        <v>110</v>
      </c>
      <c r="B111" s="25"/>
      <c r="C111" s="22"/>
      <c r="D111" s="22"/>
      <c r="E111" s="22"/>
      <c r="F111" s="22"/>
      <c r="G111" s="22"/>
      <c r="H111" s="22"/>
      <c r="I111" s="22"/>
      <c r="J111" s="22"/>
      <c r="K111" s="22"/>
      <c r="L111" s="25" t="str">
        <f aca="false">IF($B111="","",$B111+1)</f>
        <v/>
      </c>
      <c r="M111" s="25" t="str">
        <f aca="false">IF($B111="","",$B111+3)</f>
        <v/>
      </c>
      <c r="N111" s="25" t="str">
        <f aca="false">IF($B111="","",$B111+7)</f>
        <v/>
      </c>
      <c r="O111" s="25" t="str">
        <f aca="false">IF($B111="","",$B111+21)</f>
        <v/>
      </c>
      <c r="P111" s="22"/>
      <c r="Q111" s="25" t="str">
        <f aca="false">IF($B111="","",IF(P111&gt;=4,"Done",CHOOSE(P111+1,L111,M111,N111,O111)))</f>
        <v/>
      </c>
      <c r="R111" s="22"/>
    </row>
    <row r="112" customFormat="false" ht="15" hidden="false" customHeight="false" outlineLevel="0" collapsed="false">
      <c r="A112" s="22" t="n">
        <v>111</v>
      </c>
      <c r="B112" s="25"/>
      <c r="C112" s="22"/>
      <c r="D112" s="22"/>
      <c r="E112" s="22"/>
      <c r="F112" s="22"/>
      <c r="G112" s="22"/>
      <c r="H112" s="22"/>
      <c r="I112" s="22"/>
      <c r="J112" s="22"/>
      <c r="K112" s="22"/>
      <c r="L112" s="25" t="str">
        <f aca="false">IF($B112="","",$B112+1)</f>
        <v/>
      </c>
      <c r="M112" s="25" t="str">
        <f aca="false">IF($B112="","",$B112+3)</f>
        <v/>
      </c>
      <c r="N112" s="25" t="str">
        <f aca="false">IF($B112="","",$B112+7)</f>
        <v/>
      </c>
      <c r="O112" s="25" t="str">
        <f aca="false">IF($B112="","",$B112+21)</f>
        <v/>
      </c>
      <c r="P112" s="22"/>
      <c r="Q112" s="25" t="str">
        <f aca="false">IF($B112="","",IF(P112&gt;=4,"Done",CHOOSE(P112+1,L112,M112,N112,O112)))</f>
        <v/>
      </c>
      <c r="R112" s="22"/>
    </row>
    <row r="113" customFormat="false" ht="15" hidden="false" customHeight="false" outlineLevel="0" collapsed="false">
      <c r="A113" s="22" t="n">
        <v>112</v>
      </c>
      <c r="B113" s="25"/>
      <c r="C113" s="22"/>
      <c r="D113" s="22"/>
      <c r="E113" s="22"/>
      <c r="F113" s="22"/>
      <c r="G113" s="22"/>
      <c r="H113" s="22"/>
      <c r="I113" s="22"/>
      <c r="J113" s="22"/>
      <c r="K113" s="22"/>
      <c r="L113" s="25" t="str">
        <f aca="false">IF($B113="","",$B113+1)</f>
        <v/>
      </c>
      <c r="M113" s="25" t="str">
        <f aca="false">IF($B113="","",$B113+3)</f>
        <v/>
      </c>
      <c r="N113" s="25" t="str">
        <f aca="false">IF($B113="","",$B113+7)</f>
        <v/>
      </c>
      <c r="O113" s="25" t="str">
        <f aca="false">IF($B113="","",$B113+21)</f>
        <v/>
      </c>
      <c r="P113" s="22"/>
      <c r="Q113" s="25" t="str">
        <f aca="false">IF($B113="","",IF(P113&gt;=4,"Done",CHOOSE(P113+1,L113,M113,N113,O113)))</f>
        <v/>
      </c>
      <c r="R113" s="22"/>
    </row>
    <row r="114" customFormat="false" ht="15" hidden="false" customHeight="false" outlineLevel="0" collapsed="false">
      <c r="A114" s="22" t="n">
        <v>113</v>
      </c>
      <c r="B114" s="25"/>
      <c r="C114" s="22"/>
      <c r="D114" s="22"/>
      <c r="E114" s="22"/>
      <c r="F114" s="22"/>
      <c r="G114" s="22"/>
      <c r="H114" s="22"/>
      <c r="I114" s="22"/>
      <c r="J114" s="22"/>
      <c r="K114" s="22"/>
      <c r="L114" s="25" t="str">
        <f aca="false">IF($B114="","",$B114+1)</f>
        <v/>
      </c>
      <c r="M114" s="25" t="str">
        <f aca="false">IF($B114="","",$B114+3)</f>
        <v/>
      </c>
      <c r="N114" s="25" t="str">
        <f aca="false">IF($B114="","",$B114+7)</f>
        <v/>
      </c>
      <c r="O114" s="25" t="str">
        <f aca="false">IF($B114="","",$B114+21)</f>
        <v/>
      </c>
      <c r="P114" s="22"/>
      <c r="Q114" s="25" t="str">
        <f aca="false">IF($B114="","",IF(P114&gt;=4,"Done",CHOOSE(P114+1,L114,M114,N114,O114)))</f>
        <v/>
      </c>
      <c r="R114" s="22"/>
    </row>
    <row r="115" customFormat="false" ht="15" hidden="false" customHeight="false" outlineLevel="0" collapsed="false">
      <c r="A115" s="22" t="n">
        <v>114</v>
      </c>
      <c r="B115" s="25"/>
      <c r="C115" s="22"/>
      <c r="D115" s="22"/>
      <c r="E115" s="22"/>
      <c r="F115" s="22"/>
      <c r="G115" s="22"/>
      <c r="H115" s="22"/>
      <c r="I115" s="22"/>
      <c r="J115" s="22"/>
      <c r="K115" s="22"/>
      <c r="L115" s="25" t="str">
        <f aca="false">IF($B115="","",$B115+1)</f>
        <v/>
      </c>
      <c r="M115" s="25" t="str">
        <f aca="false">IF($B115="","",$B115+3)</f>
        <v/>
      </c>
      <c r="N115" s="25" t="str">
        <f aca="false">IF($B115="","",$B115+7)</f>
        <v/>
      </c>
      <c r="O115" s="25" t="str">
        <f aca="false">IF($B115="","",$B115+21)</f>
        <v/>
      </c>
      <c r="P115" s="22"/>
      <c r="Q115" s="25" t="str">
        <f aca="false">IF($B115="","",IF(P115&gt;=4,"Done",CHOOSE(P115+1,L115,M115,N115,O115)))</f>
        <v/>
      </c>
      <c r="R115" s="22"/>
    </row>
    <row r="116" customFormat="false" ht="15" hidden="false" customHeight="false" outlineLevel="0" collapsed="false">
      <c r="A116" s="22" t="n">
        <v>115</v>
      </c>
      <c r="B116" s="25"/>
      <c r="C116" s="22"/>
      <c r="D116" s="22"/>
      <c r="E116" s="22"/>
      <c r="F116" s="22"/>
      <c r="G116" s="22"/>
      <c r="H116" s="22"/>
      <c r="I116" s="22"/>
      <c r="J116" s="22"/>
      <c r="K116" s="22"/>
      <c r="L116" s="25" t="str">
        <f aca="false">IF($B116="","",$B116+1)</f>
        <v/>
      </c>
      <c r="M116" s="25" t="str">
        <f aca="false">IF($B116="","",$B116+3)</f>
        <v/>
      </c>
      <c r="N116" s="25" t="str">
        <f aca="false">IF($B116="","",$B116+7)</f>
        <v/>
      </c>
      <c r="O116" s="25" t="str">
        <f aca="false">IF($B116="","",$B116+21)</f>
        <v/>
      </c>
      <c r="P116" s="22"/>
      <c r="Q116" s="25" t="str">
        <f aca="false">IF($B116="","",IF(P116&gt;=4,"Done",CHOOSE(P116+1,L116,M116,N116,O116)))</f>
        <v/>
      </c>
      <c r="R116" s="22"/>
    </row>
    <row r="117" customFormat="false" ht="15" hidden="false" customHeight="false" outlineLevel="0" collapsed="false">
      <c r="A117" s="22" t="n">
        <v>116</v>
      </c>
      <c r="B117" s="25"/>
      <c r="C117" s="22"/>
      <c r="D117" s="22"/>
      <c r="E117" s="22"/>
      <c r="F117" s="22"/>
      <c r="G117" s="22"/>
      <c r="H117" s="22"/>
      <c r="I117" s="22"/>
      <c r="J117" s="22"/>
      <c r="K117" s="22"/>
      <c r="L117" s="25" t="str">
        <f aca="false">IF($B117="","",$B117+1)</f>
        <v/>
      </c>
      <c r="M117" s="25" t="str">
        <f aca="false">IF($B117="","",$B117+3)</f>
        <v/>
      </c>
      <c r="N117" s="25" t="str">
        <f aca="false">IF($B117="","",$B117+7)</f>
        <v/>
      </c>
      <c r="O117" s="25" t="str">
        <f aca="false">IF($B117="","",$B117+21)</f>
        <v/>
      </c>
      <c r="P117" s="22"/>
      <c r="Q117" s="25" t="str">
        <f aca="false">IF($B117="","",IF(P117&gt;=4,"Done",CHOOSE(P117+1,L117,M117,N117,O117)))</f>
        <v/>
      </c>
      <c r="R117" s="22"/>
    </row>
    <row r="118" customFormat="false" ht="15" hidden="false" customHeight="false" outlineLevel="0" collapsed="false">
      <c r="A118" s="22" t="n">
        <v>117</v>
      </c>
      <c r="B118" s="25"/>
      <c r="C118" s="22"/>
      <c r="D118" s="22"/>
      <c r="E118" s="22"/>
      <c r="F118" s="22"/>
      <c r="G118" s="22"/>
      <c r="H118" s="22"/>
      <c r="I118" s="22"/>
      <c r="J118" s="22"/>
      <c r="K118" s="22"/>
      <c r="L118" s="25" t="str">
        <f aca="false">IF($B118="","",$B118+1)</f>
        <v/>
      </c>
      <c r="M118" s="25" t="str">
        <f aca="false">IF($B118="","",$B118+3)</f>
        <v/>
      </c>
      <c r="N118" s="25" t="str">
        <f aca="false">IF($B118="","",$B118+7)</f>
        <v/>
      </c>
      <c r="O118" s="25" t="str">
        <f aca="false">IF($B118="","",$B118+21)</f>
        <v/>
      </c>
      <c r="P118" s="22"/>
      <c r="Q118" s="25" t="str">
        <f aca="false">IF($B118="","",IF(P118&gt;=4,"Done",CHOOSE(P118+1,L118,M118,N118,O118)))</f>
        <v/>
      </c>
      <c r="R118" s="22"/>
    </row>
    <row r="119" customFormat="false" ht="15" hidden="false" customHeight="false" outlineLevel="0" collapsed="false">
      <c r="A119" s="22" t="n">
        <v>118</v>
      </c>
      <c r="B119" s="25"/>
      <c r="C119" s="22"/>
      <c r="D119" s="22"/>
      <c r="E119" s="22"/>
      <c r="F119" s="22"/>
      <c r="G119" s="22"/>
      <c r="H119" s="22"/>
      <c r="I119" s="22"/>
      <c r="J119" s="22"/>
      <c r="K119" s="22"/>
      <c r="L119" s="25" t="str">
        <f aca="false">IF($B119="","",$B119+1)</f>
        <v/>
      </c>
      <c r="M119" s="25" t="str">
        <f aca="false">IF($B119="","",$B119+3)</f>
        <v/>
      </c>
      <c r="N119" s="25" t="str">
        <f aca="false">IF($B119="","",$B119+7)</f>
        <v/>
      </c>
      <c r="O119" s="25" t="str">
        <f aca="false">IF($B119="","",$B119+21)</f>
        <v/>
      </c>
      <c r="P119" s="22"/>
      <c r="Q119" s="25" t="str">
        <f aca="false">IF($B119="","",IF(P119&gt;=4,"Done",CHOOSE(P119+1,L119,M119,N119,O119)))</f>
        <v/>
      </c>
      <c r="R119" s="22"/>
    </row>
    <row r="120" customFormat="false" ht="15" hidden="false" customHeight="false" outlineLevel="0" collapsed="false">
      <c r="A120" s="22" t="n">
        <v>119</v>
      </c>
      <c r="B120" s="25"/>
      <c r="C120" s="22"/>
      <c r="D120" s="22"/>
      <c r="E120" s="22"/>
      <c r="F120" s="22"/>
      <c r="G120" s="22"/>
      <c r="H120" s="22"/>
      <c r="I120" s="22"/>
      <c r="J120" s="22"/>
      <c r="K120" s="22"/>
      <c r="L120" s="25" t="str">
        <f aca="false">IF($B120="","",$B120+1)</f>
        <v/>
      </c>
      <c r="M120" s="25" t="str">
        <f aca="false">IF($B120="","",$B120+3)</f>
        <v/>
      </c>
      <c r="N120" s="25" t="str">
        <f aca="false">IF($B120="","",$B120+7)</f>
        <v/>
      </c>
      <c r="O120" s="25" t="str">
        <f aca="false">IF($B120="","",$B120+21)</f>
        <v/>
      </c>
      <c r="P120" s="22"/>
      <c r="Q120" s="25" t="str">
        <f aca="false">IF($B120="","",IF(P120&gt;=4,"Done",CHOOSE(P120+1,L120,M120,N120,O120)))</f>
        <v/>
      </c>
      <c r="R120" s="22"/>
    </row>
    <row r="121" customFormat="false" ht="15" hidden="false" customHeight="false" outlineLevel="0" collapsed="false">
      <c r="A121" s="22" t="n">
        <v>120</v>
      </c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5" t="str">
        <f aca="false">IF($B121="","",$B121+1)</f>
        <v/>
      </c>
      <c r="M121" s="25" t="str">
        <f aca="false">IF($B121="","",$B121+3)</f>
        <v/>
      </c>
      <c r="N121" s="25" t="str">
        <f aca="false">IF($B121="","",$B121+7)</f>
        <v/>
      </c>
      <c r="O121" s="25" t="str">
        <f aca="false">IF($B121="","",$B121+21)</f>
        <v/>
      </c>
      <c r="P121" s="22"/>
      <c r="Q121" s="25" t="str">
        <f aca="false">IF($B121="","",IF(P121&gt;=4,"Done",CHOOSE(P121+1,L121,M121,N121,O121)))</f>
        <v/>
      </c>
      <c r="R121" s="22"/>
    </row>
    <row r="122" customFormat="false" ht="15" hidden="false" customHeight="false" outlineLevel="0" collapsed="false">
      <c r="A122" s="22" t="n">
        <v>121</v>
      </c>
      <c r="B122" s="25"/>
      <c r="C122" s="22"/>
      <c r="D122" s="22"/>
      <c r="E122" s="22"/>
      <c r="F122" s="22"/>
      <c r="G122" s="22"/>
      <c r="H122" s="22"/>
      <c r="I122" s="22"/>
      <c r="J122" s="22"/>
      <c r="K122" s="22"/>
      <c r="L122" s="25" t="str">
        <f aca="false">IF($B122="","",$B122+1)</f>
        <v/>
      </c>
      <c r="M122" s="25" t="str">
        <f aca="false">IF($B122="","",$B122+3)</f>
        <v/>
      </c>
      <c r="N122" s="25" t="str">
        <f aca="false">IF($B122="","",$B122+7)</f>
        <v/>
      </c>
      <c r="O122" s="25" t="str">
        <f aca="false">IF($B122="","",$B122+21)</f>
        <v/>
      </c>
      <c r="P122" s="22"/>
      <c r="Q122" s="25" t="str">
        <f aca="false">IF($B122="","",IF(P122&gt;=4,"Done",CHOOSE(P122+1,L122,M122,N122,O122)))</f>
        <v/>
      </c>
      <c r="R122" s="22"/>
    </row>
    <row r="123" customFormat="false" ht="15" hidden="false" customHeight="false" outlineLevel="0" collapsed="false">
      <c r="A123" s="22" t="n">
        <v>122</v>
      </c>
      <c r="B123" s="25"/>
      <c r="C123" s="22"/>
      <c r="D123" s="22"/>
      <c r="E123" s="22"/>
      <c r="F123" s="22"/>
      <c r="G123" s="22"/>
      <c r="H123" s="22"/>
      <c r="I123" s="22"/>
      <c r="J123" s="22"/>
      <c r="K123" s="22"/>
      <c r="L123" s="25" t="str">
        <f aca="false">IF($B123="","",$B123+1)</f>
        <v/>
      </c>
      <c r="M123" s="25" t="str">
        <f aca="false">IF($B123="","",$B123+3)</f>
        <v/>
      </c>
      <c r="N123" s="25" t="str">
        <f aca="false">IF($B123="","",$B123+7)</f>
        <v/>
      </c>
      <c r="O123" s="25" t="str">
        <f aca="false">IF($B123="","",$B123+21)</f>
        <v/>
      </c>
      <c r="P123" s="22"/>
      <c r="Q123" s="25" t="str">
        <f aca="false">IF($B123="","",IF(P123&gt;=4,"Done",CHOOSE(P123+1,L123,M123,N123,O123)))</f>
        <v/>
      </c>
      <c r="R123" s="22"/>
    </row>
    <row r="124" customFormat="false" ht="15" hidden="false" customHeight="false" outlineLevel="0" collapsed="false">
      <c r="A124" s="22" t="n">
        <v>123</v>
      </c>
      <c r="B124" s="25"/>
      <c r="C124" s="22"/>
      <c r="D124" s="22"/>
      <c r="E124" s="22"/>
      <c r="F124" s="22"/>
      <c r="G124" s="22"/>
      <c r="H124" s="22"/>
      <c r="I124" s="22"/>
      <c r="J124" s="22"/>
      <c r="K124" s="22"/>
      <c r="L124" s="25" t="str">
        <f aca="false">IF($B124="","",$B124+1)</f>
        <v/>
      </c>
      <c r="M124" s="25" t="str">
        <f aca="false">IF($B124="","",$B124+3)</f>
        <v/>
      </c>
      <c r="N124" s="25" t="str">
        <f aca="false">IF($B124="","",$B124+7)</f>
        <v/>
      </c>
      <c r="O124" s="25" t="str">
        <f aca="false">IF($B124="","",$B124+21)</f>
        <v/>
      </c>
      <c r="P124" s="22"/>
      <c r="Q124" s="25" t="str">
        <f aca="false">IF($B124="","",IF(P124&gt;=4,"Done",CHOOSE(P124+1,L124,M124,N124,O124)))</f>
        <v/>
      </c>
      <c r="R124" s="22"/>
    </row>
    <row r="125" customFormat="false" ht="15" hidden="false" customHeight="false" outlineLevel="0" collapsed="false">
      <c r="A125" s="22" t="n">
        <v>124</v>
      </c>
      <c r="B125" s="25"/>
      <c r="C125" s="22"/>
      <c r="D125" s="22"/>
      <c r="E125" s="22"/>
      <c r="F125" s="22"/>
      <c r="G125" s="22"/>
      <c r="H125" s="22"/>
      <c r="I125" s="22"/>
      <c r="J125" s="22"/>
      <c r="K125" s="22"/>
      <c r="L125" s="25" t="str">
        <f aca="false">IF($B125="","",$B125+1)</f>
        <v/>
      </c>
      <c r="M125" s="25" t="str">
        <f aca="false">IF($B125="","",$B125+3)</f>
        <v/>
      </c>
      <c r="N125" s="25" t="str">
        <f aca="false">IF($B125="","",$B125+7)</f>
        <v/>
      </c>
      <c r="O125" s="25" t="str">
        <f aca="false">IF($B125="","",$B125+21)</f>
        <v/>
      </c>
      <c r="P125" s="22"/>
      <c r="Q125" s="25" t="str">
        <f aca="false">IF($B125="","",IF(P125&gt;=4,"Done",CHOOSE(P125+1,L125,M125,N125,O125)))</f>
        <v/>
      </c>
      <c r="R125" s="22"/>
    </row>
    <row r="126" customFormat="false" ht="15" hidden="false" customHeight="false" outlineLevel="0" collapsed="false">
      <c r="A126" s="22" t="n">
        <v>125</v>
      </c>
      <c r="B126" s="25"/>
      <c r="C126" s="22"/>
      <c r="D126" s="22"/>
      <c r="E126" s="22"/>
      <c r="F126" s="22"/>
      <c r="G126" s="22"/>
      <c r="H126" s="22"/>
      <c r="I126" s="22"/>
      <c r="J126" s="22"/>
      <c r="K126" s="22"/>
      <c r="L126" s="25" t="str">
        <f aca="false">IF($B126="","",$B126+1)</f>
        <v/>
      </c>
      <c r="M126" s="25" t="str">
        <f aca="false">IF($B126="","",$B126+3)</f>
        <v/>
      </c>
      <c r="N126" s="25" t="str">
        <f aca="false">IF($B126="","",$B126+7)</f>
        <v/>
      </c>
      <c r="O126" s="25" t="str">
        <f aca="false">IF($B126="","",$B126+21)</f>
        <v/>
      </c>
      <c r="P126" s="22"/>
      <c r="Q126" s="25" t="str">
        <f aca="false">IF($B126="","",IF(P126&gt;=4,"Done",CHOOSE(P126+1,L126,M126,N126,O126)))</f>
        <v/>
      </c>
      <c r="R126" s="22"/>
    </row>
    <row r="127" customFormat="false" ht="15" hidden="false" customHeight="false" outlineLevel="0" collapsed="false">
      <c r="A127" s="22" t="n">
        <v>126</v>
      </c>
      <c r="B127" s="25"/>
      <c r="C127" s="22"/>
      <c r="D127" s="22"/>
      <c r="E127" s="22"/>
      <c r="F127" s="22"/>
      <c r="G127" s="22"/>
      <c r="H127" s="22"/>
      <c r="I127" s="22"/>
      <c r="J127" s="22"/>
      <c r="K127" s="22"/>
      <c r="L127" s="25" t="str">
        <f aca="false">IF($B127="","",$B127+1)</f>
        <v/>
      </c>
      <c r="M127" s="25" t="str">
        <f aca="false">IF($B127="","",$B127+3)</f>
        <v/>
      </c>
      <c r="N127" s="25" t="str">
        <f aca="false">IF($B127="","",$B127+7)</f>
        <v/>
      </c>
      <c r="O127" s="25" t="str">
        <f aca="false">IF($B127="","",$B127+21)</f>
        <v/>
      </c>
      <c r="P127" s="22"/>
      <c r="Q127" s="25" t="str">
        <f aca="false">IF($B127="","",IF(P127&gt;=4,"Done",CHOOSE(P127+1,L127,M127,N127,O127)))</f>
        <v/>
      </c>
      <c r="R127" s="22"/>
    </row>
    <row r="128" customFormat="false" ht="15" hidden="false" customHeight="false" outlineLevel="0" collapsed="false">
      <c r="A128" s="22" t="n">
        <v>127</v>
      </c>
      <c r="B128" s="25"/>
      <c r="C128" s="22"/>
      <c r="D128" s="22"/>
      <c r="E128" s="22"/>
      <c r="F128" s="22"/>
      <c r="G128" s="22"/>
      <c r="H128" s="22"/>
      <c r="I128" s="22"/>
      <c r="J128" s="22"/>
      <c r="K128" s="22"/>
      <c r="L128" s="25" t="str">
        <f aca="false">IF($B128="","",$B128+1)</f>
        <v/>
      </c>
      <c r="M128" s="25" t="str">
        <f aca="false">IF($B128="","",$B128+3)</f>
        <v/>
      </c>
      <c r="N128" s="25" t="str">
        <f aca="false">IF($B128="","",$B128+7)</f>
        <v/>
      </c>
      <c r="O128" s="25" t="str">
        <f aca="false">IF($B128="","",$B128+21)</f>
        <v/>
      </c>
      <c r="P128" s="22"/>
      <c r="Q128" s="25" t="str">
        <f aca="false">IF($B128="","",IF(P128&gt;=4,"Done",CHOOSE(P128+1,L128,M128,N128,O128)))</f>
        <v/>
      </c>
      <c r="R128" s="22"/>
    </row>
    <row r="129" customFormat="false" ht="15" hidden="false" customHeight="false" outlineLevel="0" collapsed="false">
      <c r="A129" s="22" t="n">
        <v>128</v>
      </c>
      <c r="B129" s="25"/>
      <c r="C129" s="22"/>
      <c r="D129" s="22"/>
      <c r="E129" s="22"/>
      <c r="F129" s="22"/>
      <c r="G129" s="22"/>
      <c r="H129" s="22"/>
      <c r="I129" s="22"/>
      <c r="J129" s="22"/>
      <c r="K129" s="22"/>
      <c r="L129" s="25" t="str">
        <f aca="false">IF($B129="","",$B129+1)</f>
        <v/>
      </c>
      <c r="M129" s="25" t="str">
        <f aca="false">IF($B129="","",$B129+3)</f>
        <v/>
      </c>
      <c r="N129" s="25" t="str">
        <f aca="false">IF($B129="","",$B129+7)</f>
        <v/>
      </c>
      <c r="O129" s="25" t="str">
        <f aca="false">IF($B129="","",$B129+21)</f>
        <v/>
      </c>
      <c r="P129" s="22"/>
      <c r="Q129" s="25" t="str">
        <f aca="false">IF($B129="","",IF(P129&gt;=4,"Done",CHOOSE(P129+1,L129,M129,N129,O129)))</f>
        <v/>
      </c>
      <c r="R129" s="22"/>
    </row>
    <row r="130" customFormat="false" ht="15" hidden="false" customHeight="false" outlineLevel="0" collapsed="false">
      <c r="A130" s="22" t="n">
        <v>129</v>
      </c>
      <c r="B130" s="25"/>
      <c r="C130" s="22"/>
      <c r="D130" s="22"/>
      <c r="E130" s="22"/>
      <c r="F130" s="22"/>
      <c r="G130" s="22"/>
      <c r="H130" s="22"/>
      <c r="I130" s="22"/>
      <c r="J130" s="22"/>
      <c r="K130" s="22"/>
      <c r="L130" s="25" t="str">
        <f aca="false">IF($B130="","",$B130+1)</f>
        <v/>
      </c>
      <c r="M130" s="25" t="str">
        <f aca="false">IF($B130="","",$B130+3)</f>
        <v/>
      </c>
      <c r="N130" s="25" t="str">
        <f aca="false">IF($B130="","",$B130+7)</f>
        <v/>
      </c>
      <c r="O130" s="25" t="str">
        <f aca="false">IF($B130="","",$B130+21)</f>
        <v/>
      </c>
      <c r="P130" s="22"/>
      <c r="Q130" s="25" t="str">
        <f aca="false">IF($B130="","",IF(P130&gt;=4,"Done",CHOOSE(P130+1,L130,M130,N130,O130)))</f>
        <v/>
      </c>
      <c r="R130" s="22"/>
    </row>
    <row r="131" customFormat="false" ht="15" hidden="false" customHeight="false" outlineLevel="0" collapsed="false">
      <c r="A131" s="22" t="n">
        <v>130</v>
      </c>
      <c r="B131" s="25"/>
      <c r="C131" s="22"/>
      <c r="D131" s="22"/>
      <c r="E131" s="22"/>
      <c r="F131" s="22"/>
      <c r="G131" s="22"/>
      <c r="H131" s="22"/>
      <c r="I131" s="22"/>
      <c r="J131" s="22"/>
      <c r="K131" s="22"/>
      <c r="L131" s="25" t="str">
        <f aca="false">IF($B131="","",$B131+1)</f>
        <v/>
      </c>
      <c r="M131" s="25" t="str">
        <f aca="false">IF($B131="","",$B131+3)</f>
        <v/>
      </c>
      <c r="N131" s="25" t="str">
        <f aca="false">IF($B131="","",$B131+7)</f>
        <v/>
      </c>
      <c r="O131" s="25" t="str">
        <f aca="false">IF($B131="","",$B131+21)</f>
        <v/>
      </c>
      <c r="P131" s="22"/>
      <c r="Q131" s="25" t="str">
        <f aca="false">IF($B131="","",IF(P131&gt;=4,"Done",CHOOSE(P131+1,L131,M131,N131,O131)))</f>
        <v/>
      </c>
      <c r="R131" s="22"/>
    </row>
    <row r="132" customFormat="false" ht="15" hidden="false" customHeight="false" outlineLevel="0" collapsed="false">
      <c r="A132" s="22" t="n">
        <v>131</v>
      </c>
      <c r="B132" s="25"/>
      <c r="C132" s="22"/>
      <c r="D132" s="22"/>
      <c r="E132" s="22"/>
      <c r="F132" s="22"/>
      <c r="G132" s="22"/>
      <c r="H132" s="22"/>
      <c r="I132" s="22"/>
      <c r="J132" s="22"/>
      <c r="K132" s="22"/>
      <c r="L132" s="25" t="str">
        <f aca="false">IF($B132="","",$B132+1)</f>
        <v/>
      </c>
      <c r="M132" s="25" t="str">
        <f aca="false">IF($B132="","",$B132+3)</f>
        <v/>
      </c>
      <c r="N132" s="25" t="str">
        <f aca="false">IF($B132="","",$B132+7)</f>
        <v/>
      </c>
      <c r="O132" s="25" t="str">
        <f aca="false">IF($B132="","",$B132+21)</f>
        <v/>
      </c>
      <c r="P132" s="22"/>
      <c r="Q132" s="25" t="str">
        <f aca="false">IF($B132="","",IF(P132&gt;=4,"Done",CHOOSE(P132+1,L132,M132,N132,O132)))</f>
        <v/>
      </c>
      <c r="R132" s="22"/>
    </row>
    <row r="133" customFormat="false" ht="15" hidden="false" customHeight="false" outlineLevel="0" collapsed="false">
      <c r="A133" s="22" t="n">
        <v>132</v>
      </c>
      <c r="B133" s="25"/>
      <c r="C133" s="22"/>
      <c r="D133" s="22"/>
      <c r="E133" s="22"/>
      <c r="F133" s="22"/>
      <c r="G133" s="22"/>
      <c r="H133" s="22"/>
      <c r="I133" s="22"/>
      <c r="J133" s="22"/>
      <c r="K133" s="22"/>
      <c r="L133" s="25" t="str">
        <f aca="false">IF($B133="","",$B133+1)</f>
        <v/>
      </c>
      <c r="M133" s="25" t="str">
        <f aca="false">IF($B133="","",$B133+3)</f>
        <v/>
      </c>
      <c r="N133" s="25" t="str">
        <f aca="false">IF($B133="","",$B133+7)</f>
        <v/>
      </c>
      <c r="O133" s="25" t="str">
        <f aca="false">IF($B133="","",$B133+21)</f>
        <v/>
      </c>
      <c r="P133" s="22"/>
      <c r="Q133" s="25" t="str">
        <f aca="false">IF($B133="","",IF(P133&gt;=4,"Done",CHOOSE(P133+1,L133,M133,N133,O133)))</f>
        <v/>
      </c>
      <c r="R133" s="22"/>
    </row>
    <row r="134" customFormat="false" ht="15" hidden="false" customHeight="false" outlineLevel="0" collapsed="false">
      <c r="A134" s="22" t="n">
        <v>133</v>
      </c>
      <c r="B134" s="25"/>
      <c r="C134" s="22"/>
      <c r="D134" s="22"/>
      <c r="E134" s="22"/>
      <c r="F134" s="22"/>
      <c r="G134" s="22"/>
      <c r="H134" s="22"/>
      <c r="I134" s="22"/>
      <c r="J134" s="22"/>
      <c r="K134" s="22"/>
      <c r="L134" s="25" t="str">
        <f aca="false">IF($B134="","",$B134+1)</f>
        <v/>
      </c>
      <c r="M134" s="25" t="str">
        <f aca="false">IF($B134="","",$B134+3)</f>
        <v/>
      </c>
      <c r="N134" s="25" t="str">
        <f aca="false">IF($B134="","",$B134+7)</f>
        <v/>
      </c>
      <c r="O134" s="25" t="str">
        <f aca="false">IF($B134="","",$B134+21)</f>
        <v/>
      </c>
      <c r="P134" s="22"/>
      <c r="Q134" s="25" t="str">
        <f aca="false">IF($B134="","",IF(P134&gt;=4,"Done",CHOOSE(P134+1,L134,M134,N134,O134)))</f>
        <v/>
      </c>
      <c r="R134" s="22"/>
    </row>
    <row r="135" customFormat="false" ht="15" hidden="false" customHeight="false" outlineLevel="0" collapsed="false">
      <c r="A135" s="22" t="n">
        <v>134</v>
      </c>
      <c r="B135" s="25"/>
      <c r="C135" s="22"/>
      <c r="D135" s="22"/>
      <c r="E135" s="22"/>
      <c r="F135" s="22"/>
      <c r="G135" s="22"/>
      <c r="H135" s="22"/>
      <c r="I135" s="22"/>
      <c r="J135" s="22"/>
      <c r="K135" s="22"/>
      <c r="L135" s="25" t="str">
        <f aca="false">IF($B135="","",$B135+1)</f>
        <v/>
      </c>
      <c r="M135" s="25" t="str">
        <f aca="false">IF($B135="","",$B135+3)</f>
        <v/>
      </c>
      <c r="N135" s="25" t="str">
        <f aca="false">IF($B135="","",$B135+7)</f>
        <v/>
      </c>
      <c r="O135" s="25" t="str">
        <f aca="false">IF($B135="","",$B135+21)</f>
        <v/>
      </c>
      <c r="P135" s="22"/>
      <c r="Q135" s="25" t="str">
        <f aca="false">IF($B135="","",IF(P135&gt;=4,"Done",CHOOSE(P135+1,L135,M135,N135,O135)))</f>
        <v/>
      </c>
      <c r="R135" s="22"/>
    </row>
    <row r="136" customFormat="false" ht="15" hidden="false" customHeight="false" outlineLevel="0" collapsed="false">
      <c r="A136" s="22" t="n">
        <v>135</v>
      </c>
      <c r="B136" s="25"/>
      <c r="C136" s="22"/>
      <c r="D136" s="22"/>
      <c r="E136" s="22"/>
      <c r="F136" s="22"/>
      <c r="G136" s="22"/>
      <c r="H136" s="22"/>
      <c r="I136" s="22"/>
      <c r="J136" s="22"/>
      <c r="K136" s="22"/>
      <c r="L136" s="25" t="str">
        <f aca="false">IF($B136="","",$B136+1)</f>
        <v/>
      </c>
      <c r="M136" s="25" t="str">
        <f aca="false">IF($B136="","",$B136+3)</f>
        <v/>
      </c>
      <c r="N136" s="25" t="str">
        <f aca="false">IF($B136="","",$B136+7)</f>
        <v/>
      </c>
      <c r="O136" s="25" t="str">
        <f aca="false">IF($B136="","",$B136+21)</f>
        <v/>
      </c>
      <c r="P136" s="22"/>
      <c r="Q136" s="25" t="str">
        <f aca="false">IF($B136="","",IF(P136&gt;=4,"Done",CHOOSE(P136+1,L136,M136,N136,O136)))</f>
        <v/>
      </c>
      <c r="R136" s="22"/>
    </row>
    <row r="137" customFormat="false" ht="15" hidden="false" customHeight="false" outlineLevel="0" collapsed="false">
      <c r="A137" s="22" t="n">
        <v>136</v>
      </c>
      <c r="B137" s="25"/>
      <c r="C137" s="22"/>
      <c r="D137" s="22"/>
      <c r="E137" s="22"/>
      <c r="F137" s="22"/>
      <c r="G137" s="22"/>
      <c r="H137" s="22"/>
      <c r="I137" s="22"/>
      <c r="J137" s="22"/>
      <c r="K137" s="22"/>
      <c r="L137" s="25" t="str">
        <f aca="false">IF($B137="","",$B137+1)</f>
        <v/>
      </c>
      <c r="M137" s="25" t="str">
        <f aca="false">IF($B137="","",$B137+3)</f>
        <v/>
      </c>
      <c r="N137" s="25" t="str">
        <f aca="false">IF($B137="","",$B137+7)</f>
        <v/>
      </c>
      <c r="O137" s="25" t="str">
        <f aca="false">IF($B137="","",$B137+21)</f>
        <v/>
      </c>
      <c r="P137" s="22"/>
      <c r="Q137" s="25" t="str">
        <f aca="false">IF($B137="","",IF(P137&gt;=4,"Done",CHOOSE(P137+1,L137,M137,N137,O137)))</f>
        <v/>
      </c>
      <c r="R137" s="22"/>
    </row>
    <row r="138" customFormat="false" ht="15" hidden="false" customHeight="false" outlineLevel="0" collapsed="false">
      <c r="A138" s="22" t="n">
        <v>137</v>
      </c>
      <c r="B138" s="25"/>
      <c r="C138" s="22"/>
      <c r="D138" s="22"/>
      <c r="E138" s="22"/>
      <c r="F138" s="22"/>
      <c r="G138" s="22"/>
      <c r="H138" s="22"/>
      <c r="I138" s="22"/>
      <c r="J138" s="22"/>
      <c r="K138" s="22"/>
      <c r="L138" s="25" t="str">
        <f aca="false">IF($B138="","",$B138+1)</f>
        <v/>
      </c>
      <c r="M138" s="25" t="str">
        <f aca="false">IF($B138="","",$B138+3)</f>
        <v/>
      </c>
      <c r="N138" s="25" t="str">
        <f aca="false">IF($B138="","",$B138+7)</f>
        <v/>
      </c>
      <c r="O138" s="25" t="str">
        <f aca="false">IF($B138="","",$B138+21)</f>
        <v/>
      </c>
      <c r="P138" s="22"/>
      <c r="Q138" s="25" t="str">
        <f aca="false">IF($B138="","",IF(P138&gt;=4,"Done",CHOOSE(P138+1,L138,M138,N138,O138)))</f>
        <v/>
      </c>
      <c r="R138" s="22"/>
    </row>
    <row r="139" customFormat="false" ht="15" hidden="false" customHeight="false" outlineLevel="0" collapsed="false">
      <c r="A139" s="22" t="n">
        <v>138</v>
      </c>
      <c r="B139" s="25"/>
      <c r="C139" s="22"/>
      <c r="D139" s="22"/>
      <c r="E139" s="22"/>
      <c r="F139" s="22"/>
      <c r="G139" s="22"/>
      <c r="H139" s="22"/>
      <c r="I139" s="22"/>
      <c r="J139" s="22"/>
      <c r="K139" s="22"/>
      <c r="L139" s="25" t="str">
        <f aca="false">IF($B139="","",$B139+1)</f>
        <v/>
      </c>
      <c r="M139" s="25" t="str">
        <f aca="false">IF($B139="","",$B139+3)</f>
        <v/>
      </c>
      <c r="N139" s="25" t="str">
        <f aca="false">IF($B139="","",$B139+7)</f>
        <v/>
      </c>
      <c r="O139" s="25" t="str">
        <f aca="false">IF($B139="","",$B139+21)</f>
        <v/>
      </c>
      <c r="P139" s="22"/>
      <c r="Q139" s="25" t="str">
        <f aca="false">IF($B139="","",IF(P139&gt;=4,"Done",CHOOSE(P139+1,L139,M139,N139,O139)))</f>
        <v/>
      </c>
      <c r="R139" s="22"/>
    </row>
    <row r="140" customFormat="false" ht="15" hidden="false" customHeight="false" outlineLevel="0" collapsed="false">
      <c r="A140" s="22" t="n">
        <v>139</v>
      </c>
      <c r="B140" s="25"/>
      <c r="C140" s="22"/>
      <c r="D140" s="22"/>
      <c r="E140" s="22"/>
      <c r="F140" s="22"/>
      <c r="G140" s="22"/>
      <c r="H140" s="22"/>
      <c r="I140" s="22"/>
      <c r="J140" s="22"/>
      <c r="K140" s="22"/>
      <c r="L140" s="25" t="str">
        <f aca="false">IF($B140="","",$B140+1)</f>
        <v/>
      </c>
      <c r="M140" s="25" t="str">
        <f aca="false">IF($B140="","",$B140+3)</f>
        <v/>
      </c>
      <c r="N140" s="25" t="str">
        <f aca="false">IF($B140="","",$B140+7)</f>
        <v/>
      </c>
      <c r="O140" s="25" t="str">
        <f aca="false">IF($B140="","",$B140+21)</f>
        <v/>
      </c>
      <c r="P140" s="22"/>
      <c r="Q140" s="25" t="str">
        <f aca="false">IF($B140="","",IF(P140&gt;=4,"Done",CHOOSE(P140+1,L140,M140,N140,O140)))</f>
        <v/>
      </c>
      <c r="R140" s="22"/>
    </row>
    <row r="141" customFormat="false" ht="15" hidden="false" customHeight="false" outlineLevel="0" collapsed="false">
      <c r="A141" s="22" t="n">
        <v>140</v>
      </c>
      <c r="B141" s="25"/>
      <c r="C141" s="22"/>
      <c r="D141" s="22"/>
      <c r="E141" s="22"/>
      <c r="F141" s="22"/>
      <c r="G141" s="22"/>
      <c r="H141" s="22"/>
      <c r="I141" s="22"/>
      <c r="J141" s="22"/>
      <c r="K141" s="22"/>
      <c r="L141" s="25" t="str">
        <f aca="false">IF($B141="","",$B141+1)</f>
        <v/>
      </c>
      <c r="M141" s="25" t="str">
        <f aca="false">IF($B141="","",$B141+3)</f>
        <v/>
      </c>
      <c r="N141" s="25" t="str">
        <f aca="false">IF($B141="","",$B141+7)</f>
        <v/>
      </c>
      <c r="O141" s="25" t="str">
        <f aca="false">IF($B141="","",$B141+21)</f>
        <v/>
      </c>
      <c r="P141" s="22"/>
      <c r="Q141" s="25" t="str">
        <f aca="false">IF($B141="","",IF(P141&gt;=4,"Done",CHOOSE(P141+1,L141,M141,N141,O141)))</f>
        <v/>
      </c>
      <c r="R141" s="22"/>
    </row>
    <row r="142" customFormat="false" ht="15" hidden="false" customHeight="false" outlineLevel="0" collapsed="false">
      <c r="A142" s="22" t="n">
        <v>141</v>
      </c>
      <c r="B142" s="25"/>
      <c r="C142" s="22"/>
      <c r="D142" s="22"/>
      <c r="E142" s="22"/>
      <c r="F142" s="22"/>
      <c r="G142" s="22"/>
      <c r="H142" s="22"/>
      <c r="I142" s="22"/>
      <c r="J142" s="22"/>
      <c r="K142" s="22"/>
      <c r="L142" s="25" t="str">
        <f aca="false">IF($B142="","",$B142+1)</f>
        <v/>
      </c>
      <c r="M142" s="25" t="str">
        <f aca="false">IF($B142="","",$B142+3)</f>
        <v/>
      </c>
      <c r="N142" s="25" t="str">
        <f aca="false">IF($B142="","",$B142+7)</f>
        <v/>
      </c>
      <c r="O142" s="25" t="str">
        <f aca="false">IF($B142="","",$B142+21)</f>
        <v/>
      </c>
      <c r="P142" s="22"/>
      <c r="Q142" s="25" t="str">
        <f aca="false">IF($B142="","",IF(P142&gt;=4,"Done",CHOOSE(P142+1,L142,M142,N142,O142)))</f>
        <v/>
      </c>
      <c r="R142" s="22"/>
    </row>
    <row r="143" customFormat="false" ht="15" hidden="false" customHeight="false" outlineLevel="0" collapsed="false">
      <c r="A143" s="22" t="n">
        <v>142</v>
      </c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5" t="str">
        <f aca="false">IF($B143="","",$B143+1)</f>
        <v/>
      </c>
      <c r="M143" s="25" t="str">
        <f aca="false">IF($B143="","",$B143+3)</f>
        <v/>
      </c>
      <c r="N143" s="25" t="str">
        <f aca="false">IF($B143="","",$B143+7)</f>
        <v/>
      </c>
      <c r="O143" s="25" t="str">
        <f aca="false">IF($B143="","",$B143+21)</f>
        <v/>
      </c>
      <c r="P143" s="22"/>
      <c r="Q143" s="25" t="str">
        <f aca="false">IF($B143="","",IF(P143&gt;=4,"Done",CHOOSE(P143+1,L143,M143,N143,O143)))</f>
        <v/>
      </c>
      <c r="R143" s="22"/>
    </row>
    <row r="144" customFormat="false" ht="15" hidden="false" customHeight="false" outlineLevel="0" collapsed="false">
      <c r="A144" s="22" t="n">
        <v>143</v>
      </c>
      <c r="B144" s="25"/>
      <c r="C144" s="22"/>
      <c r="D144" s="22"/>
      <c r="E144" s="22"/>
      <c r="F144" s="22"/>
      <c r="G144" s="22"/>
      <c r="H144" s="22"/>
      <c r="I144" s="22"/>
      <c r="J144" s="22"/>
      <c r="K144" s="22"/>
      <c r="L144" s="25" t="str">
        <f aca="false">IF($B144="","",$B144+1)</f>
        <v/>
      </c>
      <c r="M144" s="25" t="str">
        <f aca="false">IF($B144="","",$B144+3)</f>
        <v/>
      </c>
      <c r="N144" s="25" t="str">
        <f aca="false">IF($B144="","",$B144+7)</f>
        <v/>
      </c>
      <c r="O144" s="25" t="str">
        <f aca="false">IF($B144="","",$B144+21)</f>
        <v/>
      </c>
      <c r="P144" s="22"/>
      <c r="Q144" s="25" t="str">
        <f aca="false">IF($B144="","",IF(P144&gt;=4,"Done",CHOOSE(P144+1,L144,M144,N144,O144)))</f>
        <v/>
      </c>
      <c r="R144" s="22"/>
    </row>
    <row r="145" customFormat="false" ht="15" hidden="false" customHeight="false" outlineLevel="0" collapsed="false">
      <c r="A145" s="22" t="n">
        <v>144</v>
      </c>
      <c r="B145" s="25"/>
      <c r="C145" s="22"/>
      <c r="D145" s="22"/>
      <c r="E145" s="22"/>
      <c r="F145" s="22"/>
      <c r="G145" s="22"/>
      <c r="H145" s="22"/>
      <c r="I145" s="22"/>
      <c r="J145" s="22"/>
      <c r="K145" s="22"/>
      <c r="L145" s="25" t="str">
        <f aca="false">IF($B145="","",$B145+1)</f>
        <v/>
      </c>
      <c r="M145" s="25" t="str">
        <f aca="false">IF($B145="","",$B145+3)</f>
        <v/>
      </c>
      <c r="N145" s="25" t="str">
        <f aca="false">IF($B145="","",$B145+7)</f>
        <v/>
      </c>
      <c r="O145" s="25" t="str">
        <f aca="false">IF($B145="","",$B145+21)</f>
        <v/>
      </c>
      <c r="P145" s="22"/>
      <c r="Q145" s="25" t="str">
        <f aca="false">IF($B145="","",IF(P145&gt;=4,"Done",CHOOSE(P145+1,L145,M145,N145,O145)))</f>
        <v/>
      </c>
      <c r="R145" s="22"/>
    </row>
    <row r="146" customFormat="false" ht="15" hidden="false" customHeight="false" outlineLevel="0" collapsed="false">
      <c r="A146" s="22" t="n">
        <v>145</v>
      </c>
      <c r="B146" s="25"/>
      <c r="C146" s="22"/>
      <c r="D146" s="22"/>
      <c r="E146" s="22"/>
      <c r="F146" s="22"/>
      <c r="G146" s="22"/>
      <c r="H146" s="22"/>
      <c r="I146" s="22"/>
      <c r="J146" s="22"/>
      <c r="K146" s="22"/>
      <c r="L146" s="25" t="str">
        <f aca="false">IF($B146="","",$B146+1)</f>
        <v/>
      </c>
      <c r="M146" s="25" t="str">
        <f aca="false">IF($B146="","",$B146+3)</f>
        <v/>
      </c>
      <c r="N146" s="25" t="str">
        <f aca="false">IF($B146="","",$B146+7)</f>
        <v/>
      </c>
      <c r="O146" s="25" t="str">
        <f aca="false">IF($B146="","",$B146+21)</f>
        <v/>
      </c>
      <c r="P146" s="22"/>
      <c r="Q146" s="25" t="str">
        <f aca="false">IF($B146="","",IF(P146&gt;=4,"Done",CHOOSE(P146+1,L146,M146,N146,O146)))</f>
        <v/>
      </c>
      <c r="R146" s="22"/>
    </row>
    <row r="147" customFormat="false" ht="15" hidden="false" customHeight="false" outlineLevel="0" collapsed="false">
      <c r="A147" s="22" t="n">
        <v>146</v>
      </c>
      <c r="B147" s="25"/>
      <c r="C147" s="22"/>
      <c r="D147" s="22"/>
      <c r="E147" s="22"/>
      <c r="F147" s="22"/>
      <c r="G147" s="22"/>
      <c r="H147" s="22"/>
      <c r="I147" s="22"/>
      <c r="J147" s="22"/>
      <c r="K147" s="22"/>
      <c r="L147" s="25" t="str">
        <f aca="false">IF($B147="","",$B147+1)</f>
        <v/>
      </c>
      <c r="M147" s="25" t="str">
        <f aca="false">IF($B147="","",$B147+3)</f>
        <v/>
      </c>
      <c r="N147" s="25" t="str">
        <f aca="false">IF($B147="","",$B147+7)</f>
        <v/>
      </c>
      <c r="O147" s="25" t="str">
        <f aca="false">IF($B147="","",$B147+21)</f>
        <v/>
      </c>
      <c r="P147" s="22"/>
      <c r="Q147" s="25" t="str">
        <f aca="false">IF($B147="","",IF(P147&gt;=4,"Done",CHOOSE(P147+1,L147,M147,N147,O147)))</f>
        <v/>
      </c>
      <c r="R147" s="22"/>
    </row>
    <row r="148" customFormat="false" ht="15" hidden="false" customHeight="false" outlineLevel="0" collapsed="false">
      <c r="A148" s="22" t="n">
        <v>147</v>
      </c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5" t="str">
        <f aca="false">IF($B148="","",$B148+1)</f>
        <v/>
      </c>
      <c r="M148" s="25" t="str">
        <f aca="false">IF($B148="","",$B148+3)</f>
        <v/>
      </c>
      <c r="N148" s="25" t="str">
        <f aca="false">IF($B148="","",$B148+7)</f>
        <v/>
      </c>
      <c r="O148" s="25" t="str">
        <f aca="false">IF($B148="","",$B148+21)</f>
        <v/>
      </c>
      <c r="P148" s="22"/>
      <c r="Q148" s="25" t="str">
        <f aca="false">IF($B148="","",IF(P148&gt;=4,"Done",CHOOSE(P148+1,L148,M148,N148,O148)))</f>
        <v/>
      </c>
      <c r="R148" s="22"/>
    </row>
    <row r="149" customFormat="false" ht="15" hidden="false" customHeight="false" outlineLevel="0" collapsed="false">
      <c r="A149" s="22" t="n">
        <v>148</v>
      </c>
      <c r="B149" s="25"/>
      <c r="C149" s="22"/>
      <c r="D149" s="22"/>
      <c r="E149" s="22"/>
      <c r="F149" s="22"/>
      <c r="G149" s="22"/>
      <c r="H149" s="22"/>
      <c r="I149" s="22"/>
      <c r="J149" s="22"/>
      <c r="K149" s="22"/>
      <c r="L149" s="25" t="str">
        <f aca="false">IF($B149="","",$B149+1)</f>
        <v/>
      </c>
      <c r="M149" s="25" t="str">
        <f aca="false">IF($B149="","",$B149+3)</f>
        <v/>
      </c>
      <c r="N149" s="25" t="str">
        <f aca="false">IF($B149="","",$B149+7)</f>
        <v/>
      </c>
      <c r="O149" s="25" t="str">
        <f aca="false">IF($B149="","",$B149+21)</f>
        <v/>
      </c>
      <c r="P149" s="22"/>
      <c r="Q149" s="25" t="str">
        <f aca="false">IF($B149="","",IF(P149&gt;=4,"Done",CHOOSE(P149+1,L149,M149,N149,O149)))</f>
        <v/>
      </c>
      <c r="R149" s="22"/>
    </row>
    <row r="150" customFormat="false" ht="15" hidden="false" customHeight="false" outlineLevel="0" collapsed="false">
      <c r="A150" s="22" t="n">
        <v>149</v>
      </c>
      <c r="B150" s="25"/>
      <c r="C150" s="22"/>
      <c r="D150" s="22"/>
      <c r="E150" s="22"/>
      <c r="F150" s="22"/>
      <c r="G150" s="22"/>
      <c r="H150" s="22"/>
      <c r="I150" s="22"/>
      <c r="J150" s="22"/>
      <c r="K150" s="22"/>
      <c r="L150" s="25" t="str">
        <f aca="false">IF($B150="","",$B150+1)</f>
        <v/>
      </c>
      <c r="M150" s="25" t="str">
        <f aca="false">IF($B150="","",$B150+3)</f>
        <v/>
      </c>
      <c r="N150" s="25" t="str">
        <f aca="false">IF($B150="","",$B150+7)</f>
        <v/>
      </c>
      <c r="O150" s="25" t="str">
        <f aca="false">IF($B150="","",$B150+21)</f>
        <v/>
      </c>
      <c r="P150" s="22"/>
      <c r="Q150" s="25" t="str">
        <f aca="false">IF($B150="","",IF(P150&gt;=4,"Done",CHOOSE(P150+1,L150,M150,N150,O150)))</f>
        <v/>
      </c>
      <c r="R150" s="22"/>
    </row>
    <row r="151" customFormat="false" ht="15" hidden="false" customHeight="false" outlineLevel="0" collapsed="false">
      <c r="A151" s="22" t="n">
        <v>150</v>
      </c>
      <c r="B151" s="25"/>
      <c r="C151" s="22"/>
      <c r="D151" s="22"/>
      <c r="E151" s="22"/>
      <c r="F151" s="22"/>
      <c r="G151" s="22"/>
      <c r="H151" s="22"/>
      <c r="I151" s="22"/>
      <c r="J151" s="22"/>
      <c r="K151" s="22"/>
      <c r="L151" s="25" t="str">
        <f aca="false">IF($B151="","",$B151+1)</f>
        <v/>
      </c>
      <c r="M151" s="25" t="str">
        <f aca="false">IF($B151="","",$B151+3)</f>
        <v/>
      </c>
      <c r="N151" s="25" t="str">
        <f aca="false">IF($B151="","",$B151+7)</f>
        <v/>
      </c>
      <c r="O151" s="25" t="str">
        <f aca="false">IF($B151="","",$B151+21)</f>
        <v/>
      </c>
      <c r="P151" s="22"/>
      <c r="Q151" s="25" t="str">
        <f aca="false">IF($B151="","",IF(P151&gt;=4,"Done",CHOOSE(P151+1,L151,M151,N151,O151)))</f>
        <v/>
      </c>
      <c r="R151" s="22"/>
    </row>
    <row r="152" customFormat="false" ht="15" hidden="false" customHeight="false" outlineLevel="0" collapsed="false">
      <c r="A152" s="22" t="n">
        <v>151</v>
      </c>
      <c r="B152" s="25"/>
      <c r="C152" s="22"/>
      <c r="D152" s="22"/>
      <c r="E152" s="22"/>
      <c r="F152" s="22"/>
      <c r="G152" s="22"/>
      <c r="H152" s="22"/>
      <c r="I152" s="22"/>
      <c r="J152" s="22"/>
      <c r="K152" s="22"/>
      <c r="L152" s="25" t="str">
        <f aca="false">IF($B152="","",$B152+1)</f>
        <v/>
      </c>
      <c r="M152" s="25" t="str">
        <f aca="false">IF($B152="","",$B152+3)</f>
        <v/>
      </c>
      <c r="N152" s="25" t="str">
        <f aca="false">IF($B152="","",$B152+7)</f>
        <v/>
      </c>
      <c r="O152" s="25" t="str">
        <f aca="false">IF($B152="","",$B152+21)</f>
        <v/>
      </c>
      <c r="P152" s="22"/>
      <c r="Q152" s="25" t="str">
        <f aca="false">IF($B152="","",IF(P152&gt;=4,"Done",CHOOSE(P152+1,L152,M152,N152,O152)))</f>
        <v/>
      </c>
      <c r="R152" s="22"/>
    </row>
    <row r="153" customFormat="false" ht="15" hidden="false" customHeight="false" outlineLevel="0" collapsed="false">
      <c r="A153" s="22" t="n">
        <v>152</v>
      </c>
      <c r="B153" s="25"/>
      <c r="C153" s="22"/>
      <c r="D153" s="22"/>
      <c r="E153" s="22"/>
      <c r="F153" s="22"/>
      <c r="G153" s="22"/>
      <c r="H153" s="22"/>
      <c r="I153" s="22"/>
      <c r="J153" s="22"/>
      <c r="K153" s="22"/>
      <c r="L153" s="25" t="str">
        <f aca="false">IF($B153="","",$B153+1)</f>
        <v/>
      </c>
      <c r="M153" s="25" t="str">
        <f aca="false">IF($B153="","",$B153+3)</f>
        <v/>
      </c>
      <c r="N153" s="25" t="str">
        <f aca="false">IF($B153="","",$B153+7)</f>
        <v/>
      </c>
      <c r="O153" s="25" t="str">
        <f aca="false">IF($B153="","",$B153+21)</f>
        <v/>
      </c>
      <c r="P153" s="22"/>
      <c r="Q153" s="25" t="str">
        <f aca="false">IF($B153="","",IF(P153&gt;=4,"Done",CHOOSE(P153+1,L153,M153,N153,O153)))</f>
        <v/>
      </c>
      <c r="R153" s="22"/>
    </row>
    <row r="154" customFormat="false" ht="15" hidden="false" customHeight="false" outlineLevel="0" collapsed="false">
      <c r="A154" s="22" t="n">
        <v>153</v>
      </c>
      <c r="B154" s="25"/>
      <c r="C154" s="22"/>
      <c r="D154" s="22"/>
      <c r="E154" s="22"/>
      <c r="F154" s="22"/>
      <c r="G154" s="22"/>
      <c r="H154" s="22"/>
      <c r="I154" s="22"/>
      <c r="J154" s="22"/>
      <c r="K154" s="22"/>
      <c r="L154" s="25" t="str">
        <f aca="false">IF($B154="","",$B154+1)</f>
        <v/>
      </c>
      <c r="M154" s="25" t="str">
        <f aca="false">IF($B154="","",$B154+3)</f>
        <v/>
      </c>
      <c r="N154" s="25" t="str">
        <f aca="false">IF($B154="","",$B154+7)</f>
        <v/>
      </c>
      <c r="O154" s="25" t="str">
        <f aca="false">IF($B154="","",$B154+21)</f>
        <v/>
      </c>
      <c r="P154" s="22"/>
      <c r="Q154" s="25" t="str">
        <f aca="false">IF($B154="","",IF(P154&gt;=4,"Done",CHOOSE(P154+1,L154,M154,N154,O154)))</f>
        <v/>
      </c>
      <c r="R154" s="22"/>
    </row>
    <row r="155" customFormat="false" ht="15" hidden="false" customHeight="false" outlineLevel="0" collapsed="false">
      <c r="A155" s="22" t="n">
        <v>154</v>
      </c>
      <c r="B155" s="25"/>
      <c r="C155" s="22"/>
      <c r="D155" s="22"/>
      <c r="E155" s="22"/>
      <c r="F155" s="22"/>
      <c r="G155" s="22"/>
      <c r="H155" s="22"/>
      <c r="I155" s="22"/>
      <c r="J155" s="22"/>
      <c r="K155" s="22"/>
      <c r="L155" s="25" t="str">
        <f aca="false">IF($B155="","",$B155+1)</f>
        <v/>
      </c>
      <c r="M155" s="25" t="str">
        <f aca="false">IF($B155="","",$B155+3)</f>
        <v/>
      </c>
      <c r="N155" s="25" t="str">
        <f aca="false">IF($B155="","",$B155+7)</f>
        <v/>
      </c>
      <c r="O155" s="25" t="str">
        <f aca="false">IF($B155="","",$B155+21)</f>
        <v/>
      </c>
      <c r="P155" s="22"/>
      <c r="Q155" s="25" t="str">
        <f aca="false">IF($B155="","",IF(P155&gt;=4,"Done",CHOOSE(P155+1,L155,M155,N155,O155)))</f>
        <v/>
      </c>
      <c r="R155" s="22"/>
    </row>
    <row r="156" customFormat="false" ht="15" hidden="false" customHeight="false" outlineLevel="0" collapsed="false">
      <c r="A156" s="22" t="n">
        <v>155</v>
      </c>
      <c r="B156" s="25"/>
      <c r="C156" s="22"/>
      <c r="D156" s="22"/>
      <c r="E156" s="22"/>
      <c r="F156" s="22"/>
      <c r="G156" s="22"/>
      <c r="H156" s="22"/>
      <c r="I156" s="22"/>
      <c r="J156" s="22"/>
      <c r="K156" s="22"/>
      <c r="L156" s="25" t="str">
        <f aca="false">IF($B156="","",$B156+1)</f>
        <v/>
      </c>
      <c r="M156" s="25" t="str">
        <f aca="false">IF($B156="","",$B156+3)</f>
        <v/>
      </c>
      <c r="N156" s="25" t="str">
        <f aca="false">IF($B156="","",$B156+7)</f>
        <v/>
      </c>
      <c r="O156" s="25" t="str">
        <f aca="false">IF($B156="","",$B156+21)</f>
        <v/>
      </c>
      <c r="P156" s="22"/>
      <c r="Q156" s="25" t="str">
        <f aca="false">IF($B156="","",IF(P156&gt;=4,"Done",CHOOSE(P156+1,L156,M156,N156,O156)))</f>
        <v/>
      </c>
      <c r="R156" s="22"/>
    </row>
    <row r="157" customFormat="false" ht="15" hidden="false" customHeight="false" outlineLevel="0" collapsed="false">
      <c r="A157" s="22" t="n">
        <v>156</v>
      </c>
      <c r="B157" s="25"/>
      <c r="C157" s="22"/>
      <c r="D157" s="22"/>
      <c r="E157" s="22"/>
      <c r="F157" s="22"/>
      <c r="G157" s="22"/>
      <c r="H157" s="22"/>
      <c r="I157" s="22"/>
      <c r="J157" s="22"/>
      <c r="K157" s="22"/>
      <c r="L157" s="25" t="str">
        <f aca="false">IF($B157="","",$B157+1)</f>
        <v/>
      </c>
      <c r="M157" s="25" t="str">
        <f aca="false">IF($B157="","",$B157+3)</f>
        <v/>
      </c>
      <c r="N157" s="25" t="str">
        <f aca="false">IF($B157="","",$B157+7)</f>
        <v/>
      </c>
      <c r="O157" s="25" t="str">
        <f aca="false">IF($B157="","",$B157+21)</f>
        <v/>
      </c>
      <c r="P157" s="22"/>
      <c r="Q157" s="25" t="str">
        <f aca="false">IF($B157="","",IF(P157&gt;=4,"Done",CHOOSE(P157+1,L157,M157,N157,O157)))</f>
        <v/>
      </c>
      <c r="R157" s="22"/>
    </row>
    <row r="158" customFormat="false" ht="15" hidden="false" customHeight="false" outlineLevel="0" collapsed="false">
      <c r="A158" s="22" t="n">
        <v>157</v>
      </c>
      <c r="B158" s="25"/>
      <c r="C158" s="22"/>
      <c r="D158" s="22"/>
      <c r="E158" s="22"/>
      <c r="F158" s="22"/>
      <c r="G158" s="22"/>
      <c r="H158" s="22"/>
      <c r="I158" s="22"/>
      <c r="J158" s="22"/>
      <c r="K158" s="22"/>
      <c r="L158" s="25" t="str">
        <f aca="false">IF($B158="","",$B158+1)</f>
        <v/>
      </c>
      <c r="M158" s="25" t="str">
        <f aca="false">IF($B158="","",$B158+3)</f>
        <v/>
      </c>
      <c r="N158" s="25" t="str">
        <f aca="false">IF($B158="","",$B158+7)</f>
        <v/>
      </c>
      <c r="O158" s="25" t="str">
        <f aca="false">IF($B158="","",$B158+21)</f>
        <v/>
      </c>
      <c r="P158" s="22"/>
      <c r="Q158" s="25" t="str">
        <f aca="false">IF($B158="","",IF(P158&gt;=4,"Done",CHOOSE(P158+1,L158,M158,N158,O158)))</f>
        <v/>
      </c>
      <c r="R158" s="22"/>
    </row>
    <row r="159" customFormat="false" ht="15" hidden="false" customHeight="false" outlineLevel="0" collapsed="false">
      <c r="A159" s="22" t="n">
        <v>158</v>
      </c>
      <c r="B159" s="25"/>
      <c r="C159" s="22"/>
      <c r="D159" s="22"/>
      <c r="E159" s="22"/>
      <c r="F159" s="22"/>
      <c r="G159" s="22"/>
      <c r="H159" s="22"/>
      <c r="I159" s="22"/>
      <c r="J159" s="22"/>
      <c r="K159" s="22"/>
      <c r="L159" s="25" t="str">
        <f aca="false">IF($B159="","",$B159+1)</f>
        <v/>
      </c>
      <c r="M159" s="25" t="str">
        <f aca="false">IF($B159="","",$B159+3)</f>
        <v/>
      </c>
      <c r="N159" s="25" t="str">
        <f aca="false">IF($B159="","",$B159+7)</f>
        <v/>
      </c>
      <c r="O159" s="25" t="str">
        <f aca="false">IF($B159="","",$B159+21)</f>
        <v/>
      </c>
      <c r="P159" s="22"/>
      <c r="Q159" s="25" t="str">
        <f aca="false">IF($B159="","",IF(P159&gt;=4,"Done",CHOOSE(P159+1,L159,M159,N159,O159)))</f>
        <v/>
      </c>
      <c r="R159" s="22"/>
    </row>
    <row r="160" customFormat="false" ht="15" hidden="false" customHeight="false" outlineLevel="0" collapsed="false">
      <c r="A160" s="22" t="n">
        <v>159</v>
      </c>
      <c r="B160" s="25"/>
      <c r="C160" s="22"/>
      <c r="D160" s="22"/>
      <c r="E160" s="22"/>
      <c r="F160" s="22"/>
      <c r="G160" s="22"/>
      <c r="H160" s="22"/>
      <c r="I160" s="22"/>
      <c r="J160" s="22"/>
      <c r="K160" s="22"/>
      <c r="L160" s="25" t="str">
        <f aca="false">IF($B160="","",$B160+1)</f>
        <v/>
      </c>
      <c r="M160" s="25" t="str">
        <f aca="false">IF($B160="","",$B160+3)</f>
        <v/>
      </c>
      <c r="N160" s="25" t="str">
        <f aca="false">IF($B160="","",$B160+7)</f>
        <v/>
      </c>
      <c r="O160" s="25" t="str">
        <f aca="false">IF($B160="","",$B160+21)</f>
        <v/>
      </c>
      <c r="P160" s="22"/>
      <c r="Q160" s="25" t="str">
        <f aca="false">IF($B160="","",IF(P160&gt;=4,"Done",CHOOSE(P160+1,L160,M160,N160,O160)))</f>
        <v/>
      </c>
      <c r="R160" s="22"/>
    </row>
    <row r="161" customFormat="false" ht="15" hidden="false" customHeight="false" outlineLevel="0" collapsed="false">
      <c r="A161" s="22" t="n">
        <v>160</v>
      </c>
      <c r="B161" s="25"/>
      <c r="C161" s="22"/>
      <c r="D161" s="22"/>
      <c r="E161" s="22"/>
      <c r="F161" s="22"/>
      <c r="G161" s="22"/>
      <c r="H161" s="22"/>
      <c r="I161" s="22"/>
      <c r="J161" s="22"/>
      <c r="K161" s="22"/>
      <c r="L161" s="25" t="str">
        <f aca="false">IF($B161="","",$B161+1)</f>
        <v/>
      </c>
      <c r="M161" s="25" t="str">
        <f aca="false">IF($B161="","",$B161+3)</f>
        <v/>
      </c>
      <c r="N161" s="25" t="str">
        <f aca="false">IF($B161="","",$B161+7)</f>
        <v/>
      </c>
      <c r="O161" s="25" t="str">
        <f aca="false">IF($B161="","",$B161+21)</f>
        <v/>
      </c>
      <c r="P161" s="22"/>
      <c r="Q161" s="25" t="str">
        <f aca="false">IF($B161="","",IF(P161&gt;=4,"Done",CHOOSE(P161+1,L161,M161,N161,O161)))</f>
        <v/>
      </c>
      <c r="R161" s="22"/>
    </row>
    <row r="162" customFormat="false" ht="15" hidden="false" customHeight="false" outlineLevel="0" collapsed="false">
      <c r="A162" s="22" t="n">
        <v>161</v>
      </c>
      <c r="B162" s="25"/>
      <c r="C162" s="22"/>
      <c r="D162" s="22"/>
      <c r="E162" s="22"/>
      <c r="F162" s="22"/>
      <c r="G162" s="22"/>
      <c r="H162" s="22"/>
      <c r="I162" s="22"/>
      <c r="J162" s="22"/>
      <c r="K162" s="22"/>
      <c r="L162" s="25" t="str">
        <f aca="false">IF($B162="","",$B162+1)</f>
        <v/>
      </c>
      <c r="M162" s="25" t="str">
        <f aca="false">IF($B162="","",$B162+3)</f>
        <v/>
      </c>
      <c r="N162" s="25" t="str">
        <f aca="false">IF($B162="","",$B162+7)</f>
        <v/>
      </c>
      <c r="O162" s="25" t="str">
        <f aca="false">IF($B162="","",$B162+21)</f>
        <v/>
      </c>
      <c r="P162" s="22"/>
      <c r="Q162" s="25" t="str">
        <f aca="false">IF($B162="","",IF(P162&gt;=4,"Done",CHOOSE(P162+1,L162,M162,N162,O162)))</f>
        <v/>
      </c>
      <c r="R162" s="22"/>
    </row>
    <row r="163" customFormat="false" ht="15" hidden="false" customHeight="false" outlineLevel="0" collapsed="false">
      <c r="A163" s="22" t="n">
        <v>162</v>
      </c>
      <c r="B163" s="25"/>
      <c r="C163" s="22"/>
      <c r="D163" s="22"/>
      <c r="E163" s="22"/>
      <c r="F163" s="22"/>
      <c r="G163" s="22"/>
      <c r="H163" s="22"/>
      <c r="I163" s="22"/>
      <c r="J163" s="22"/>
      <c r="K163" s="22"/>
      <c r="L163" s="25" t="str">
        <f aca="false">IF($B163="","",$B163+1)</f>
        <v/>
      </c>
      <c r="M163" s="25" t="str">
        <f aca="false">IF($B163="","",$B163+3)</f>
        <v/>
      </c>
      <c r="N163" s="25" t="str">
        <f aca="false">IF($B163="","",$B163+7)</f>
        <v/>
      </c>
      <c r="O163" s="25" t="str">
        <f aca="false">IF($B163="","",$B163+21)</f>
        <v/>
      </c>
      <c r="P163" s="22"/>
      <c r="Q163" s="25" t="str">
        <f aca="false">IF($B163="","",IF(P163&gt;=4,"Done",CHOOSE(P163+1,L163,M163,N163,O163)))</f>
        <v/>
      </c>
      <c r="R163" s="22"/>
    </row>
    <row r="164" customFormat="false" ht="15" hidden="false" customHeight="false" outlineLevel="0" collapsed="false">
      <c r="A164" s="22" t="n">
        <v>163</v>
      </c>
      <c r="B164" s="25"/>
      <c r="C164" s="22"/>
      <c r="D164" s="22"/>
      <c r="E164" s="22"/>
      <c r="F164" s="22"/>
      <c r="G164" s="22"/>
      <c r="H164" s="22"/>
      <c r="I164" s="22"/>
      <c r="J164" s="22"/>
      <c r="K164" s="22"/>
      <c r="L164" s="25" t="str">
        <f aca="false">IF($B164="","",$B164+1)</f>
        <v/>
      </c>
      <c r="M164" s="25" t="str">
        <f aca="false">IF($B164="","",$B164+3)</f>
        <v/>
      </c>
      <c r="N164" s="25" t="str">
        <f aca="false">IF($B164="","",$B164+7)</f>
        <v/>
      </c>
      <c r="O164" s="25" t="str">
        <f aca="false">IF($B164="","",$B164+21)</f>
        <v/>
      </c>
      <c r="P164" s="22"/>
      <c r="Q164" s="25" t="str">
        <f aca="false">IF($B164="","",IF(P164&gt;=4,"Done",CHOOSE(P164+1,L164,M164,N164,O164)))</f>
        <v/>
      </c>
      <c r="R164" s="22"/>
    </row>
    <row r="165" customFormat="false" ht="15" hidden="false" customHeight="false" outlineLevel="0" collapsed="false">
      <c r="A165" s="22" t="n">
        <v>164</v>
      </c>
      <c r="B165" s="25"/>
      <c r="C165" s="22"/>
      <c r="D165" s="22"/>
      <c r="E165" s="22"/>
      <c r="F165" s="22"/>
      <c r="G165" s="22"/>
      <c r="H165" s="22"/>
      <c r="I165" s="22"/>
      <c r="J165" s="22"/>
      <c r="K165" s="22"/>
      <c r="L165" s="25" t="str">
        <f aca="false">IF($B165="","",$B165+1)</f>
        <v/>
      </c>
      <c r="M165" s="25" t="str">
        <f aca="false">IF($B165="","",$B165+3)</f>
        <v/>
      </c>
      <c r="N165" s="25" t="str">
        <f aca="false">IF($B165="","",$B165+7)</f>
        <v/>
      </c>
      <c r="O165" s="25" t="str">
        <f aca="false">IF($B165="","",$B165+21)</f>
        <v/>
      </c>
      <c r="P165" s="22"/>
      <c r="Q165" s="25" t="str">
        <f aca="false">IF($B165="","",IF(P165&gt;=4,"Done",CHOOSE(P165+1,L165,M165,N165,O165)))</f>
        <v/>
      </c>
      <c r="R165" s="22"/>
    </row>
    <row r="166" customFormat="false" ht="15" hidden="false" customHeight="false" outlineLevel="0" collapsed="false">
      <c r="A166" s="22" t="n">
        <v>165</v>
      </c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5" t="str">
        <f aca="false">IF($B166="","",$B166+1)</f>
        <v/>
      </c>
      <c r="M166" s="25" t="str">
        <f aca="false">IF($B166="","",$B166+3)</f>
        <v/>
      </c>
      <c r="N166" s="25" t="str">
        <f aca="false">IF($B166="","",$B166+7)</f>
        <v/>
      </c>
      <c r="O166" s="25" t="str">
        <f aca="false">IF($B166="","",$B166+21)</f>
        <v/>
      </c>
      <c r="P166" s="22"/>
      <c r="Q166" s="25" t="str">
        <f aca="false">IF($B166="","",IF(P166&gt;=4,"Done",CHOOSE(P166+1,L166,M166,N166,O166)))</f>
        <v/>
      </c>
      <c r="R166" s="22"/>
    </row>
    <row r="167" customFormat="false" ht="15" hidden="false" customHeight="false" outlineLevel="0" collapsed="false">
      <c r="A167" s="22" t="n">
        <v>166</v>
      </c>
      <c r="B167" s="25"/>
      <c r="C167" s="22"/>
      <c r="D167" s="22"/>
      <c r="E167" s="22"/>
      <c r="F167" s="22"/>
      <c r="G167" s="22"/>
      <c r="H167" s="22"/>
      <c r="I167" s="22"/>
      <c r="J167" s="22"/>
      <c r="K167" s="22"/>
      <c r="L167" s="25" t="str">
        <f aca="false">IF($B167="","",$B167+1)</f>
        <v/>
      </c>
      <c r="M167" s="25" t="str">
        <f aca="false">IF($B167="","",$B167+3)</f>
        <v/>
      </c>
      <c r="N167" s="25" t="str">
        <f aca="false">IF($B167="","",$B167+7)</f>
        <v/>
      </c>
      <c r="O167" s="25" t="str">
        <f aca="false">IF($B167="","",$B167+21)</f>
        <v/>
      </c>
      <c r="P167" s="22"/>
      <c r="Q167" s="25" t="str">
        <f aca="false">IF($B167="","",IF(P167&gt;=4,"Done",CHOOSE(P167+1,L167,M167,N167,O167)))</f>
        <v/>
      </c>
      <c r="R167" s="22"/>
    </row>
    <row r="168" customFormat="false" ht="15" hidden="false" customHeight="false" outlineLevel="0" collapsed="false">
      <c r="A168" s="22" t="n">
        <v>167</v>
      </c>
      <c r="B168" s="25"/>
      <c r="C168" s="22"/>
      <c r="D168" s="22"/>
      <c r="E168" s="22"/>
      <c r="F168" s="22"/>
      <c r="G168" s="22"/>
      <c r="H168" s="22"/>
      <c r="I168" s="22"/>
      <c r="J168" s="22"/>
      <c r="K168" s="22"/>
      <c r="L168" s="25" t="str">
        <f aca="false">IF($B168="","",$B168+1)</f>
        <v/>
      </c>
      <c r="M168" s="25" t="str">
        <f aca="false">IF($B168="","",$B168+3)</f>
        <v/>
      </c>
      <c r="N168" s="25" t="str">
        <f aca="false">IF($B168="","",$B168+7)</f>
        <v/>
      </c>
      <c r="O168" s="25" t="str">
        <f aca="false">IF($B168="","",$B168+21)</f>
        <v/>
      </c>
      <c r="P168" s="22"/>
      <c r="Q168" s="25" t="str">
        <f aca="false">IF($B168="","",IF(P168&gt;=4,"Done",CHOOSE(P168+1,L168,M168,N168,O168)))</f>
        <v/>
      </c>
      <c r="R168" s="22"/>
    </row>
    <row r="169" customFormat="false" ht="15" hidden="false" customHeight="false" outlineLevel="0" collapsed="false">
      <c r="A169" s="22" t="n">
        <v>168</v>
      </c>
      <c r="B169" s="25"/>
      <c r="C169" s="22"/>
      <c r="D169" s="22"/>
      <c r="E169" s="22"/>
      <c r="F169" s="22"/>
      <c r="G169" s="22"/>
      <c r="H169" s="22"/>
      <c r="I169" s="22"/>
      <c r="J169" s="22"/>
      <c r="K169" s="22"/>
      <c r="L169" s="25" t="str">
        <f aca="false">IF($B169="","",$B169+1)</f>
        <v/>
      </c>
      <c r="M169" s="25" t="str">
        <f aca="false">IF($B169="","",$B169+3)</f>
        <v/>
      </c>
      <c r="N169" s="25" t="str">
        <f aca="false">IF($B169="","",$B169+7)</f>
        <v/>
      </c>
      <c r="O169" s="25" t="str">
        <f aca="false">IF($B169="","",$B169+21)</f>
        <v/>
      </c>
      <c r="P169" s="22"/>
      <c r="Q169" s="25" t="str">
        <f aca="false">IF($B169="","",IF(P169&gt;=4,"Done",CHOOSE(P169+1,L169,M169,N169,O169)))</f>
        <v/>
      </c>
      <c r="R169" s="22"/>
    </row>
    <row r="170" customFormat="false" ht="15" hidden="false" customHeight="false" outlineLevel="0" collapsed="false">
      <c r="A170" s="22" t="n">
        <v>169</v>
      </c>
      <c r="B170" s="25"/>
      <c r="C170" s="22"/>
      <c r="D170" s="22"/>
      <c r="E170" s="22"/>
      <c r="F170" s="22"/>
      <c r="G170" s="22"/>
      <c r="H170" s="22"/>
      <c r="I170" s="22"/>
      <c r="J170" s="22"/>
      <c r="K170" s="22"/>
      <c r="L170" s="25" t="str">
        <f aca="false">IF($B170="","",$B170+1)</f>
        <v/>
      </c>
      <c r="M170" s="25" t="str">
        <f aca="false">IF($B170="","",$B170+3)</f>
        <v/>
      </c>
      <c r="N170" s="25" t="str">
        <f aca="false">IF($B170="","",$B170+7)</f>
        <v/>
      </c>
      <c r="O170" s="25" t="str">
        <f aca="false">IF($B170="","",$B170+21)</f>
        <v/>
      </c>
      <c r="P170" s="22"/>
      <c r="Q170" s="25" t="str">
        <f aca="false">IF($B170="","",IF(P170&gt;=4,"Done",CHOOSE(P170+1,L170,M170,N170,O170)))</f>
        <v/>
      </c>
      <c r="R170" s="22"/>
    </row>
    <row r="171" customFormat="false" ht="15" hidden="false" customHeight="false" outlineLevel="0" collapsed="false">
      <c r="A171" s="22" t="n">
        <v>170</v>
      </c>
      <c r="B171" s="25"/>
      <c r="C171" s="22"/>
      <c r="D171" s="22"/>
      <c r="E171" s="22"/>
      <c r="F171" s="22"/>
      <c r="G171" s="22"/>
      <c r="H171" s="22"/>
      <c r="I171" s="22"/>
      <c r="J171" s="22"/>
      <c r="K171" s="22"/>
      <c r="L171" s="25" t="str">
        <f aca="false">IF($B171="","",$B171+1)</f>
        <v/>
      </c>
      <c r="M171" s="25" t="str">
        <f aca="false">IF($B171="","",$B171+3)</f>
        <v/>
      </c>
      <c r="N171" s="25" t="str">
        <f aca="false">IF($B171="","",$B171+7)</f>
        <v/>
      </c>
      <c r="O171" s="25" t="str">
        <f aca="false">IF($B171="","",$B171+21)</f>
        <v/>
      </c>
      <c r="P171" s="22"/>
      <c r="Q171" s="25" t="str">
        <f aca="false">IF($B171="","",IF(P171&gt;=4,"Done",CHOOSE(P171+1,L171,M171,N171,O171)))</f>
        <v/>
      </c>
      <c r="R171" s="22"/>
    </row>
    <row r="172" customFormat="false" ht="15" hidden="false" customHeight="false" outlineLevel="0" collapsed="false">
      <c r="A172" s="22" t="n">
        <v>171</v>
      </c>
      <c r="B172" s="25"/>
      <c r="C172" s="22"/>
      <c r="D172" s="22"/>
      <c r="E172" s="22"/>
      <c r="F172" s="22"/>
      <c r="G172" s="22"/>
      <c r="H172" s="22"/>
      <c r="I172" s="22"/>
      <c r="J172" s="22"/>
      <c r="K172" s="22"/>
      <c r="L172" s="25" t="str">
        <f aca="false">IF($B172="","",$B172+1)</f>
        <v/>
      </c>
      <c r="M172" s="25" t="str">
        <f aca="false">IF($B172="","",$B172+3)</f>
        <v/>
      </c>
      <c r="N172" s="25" t="str">
        <f aca="false">IF($B172="","",$B172+7)</f>
        <v/>
      </c>
      <c r="O172" s="25" t="str">
        <f aca="false">IF($B172="","",$B172+21)</f>
        <v/>
      </c>
      <c r="P172" s="22"/>
      <c r="Q172" s="25" t="str">
        <f aca="false">IF($B172="","",IF(P172&gt;=4,"Done",CHOOSE(P172+1,L172,M172,N172,O172)))</f>
        <v/>
      </c>
      <c r="R172" s="22"/>
    </row>
    <row r="173" customFormat="false" ht="15" hidden="false" customHeight="false" outlineLevel="0" collapsed="false">
      <c r="A173" s="22" t="n">
        <v>172</v>
      </c>
      <c r="B173" s="25"/>
      <c r="C173" s="22"/>
      <c r="D173" s="22"/>
      <c r="E173" s="22"/>
      <c r="F173" s="22"/>
      <c r="G173" s="22"/>
      <c r="H173" s="22"/>
      <c r="I173" s="22"/>
      <c r="J173" s="22"/>
      <c r="K173" s="22"/>
      <c r="L173" s="25" t="str">
        <f aca="false">IF($B173="","",$B173+1)</f>
        <v/>
      </c>
      <c r="M173" s="25" t="str">
        <f aca="false">IF($B173="","",$B173+3)</f>
        <v/>
      </c>
      <c r="N173" s="25" t="str">
        <f aca="false">IF($B173="","",$B173+7)</f>
        <v/>
      </c>
      <c r="O173" s="25" t="str">
        <f aca="false">IF($B173="","",$B173+21)</f>
        <v/>
      </c>
      <c r="P173" s="22"/>
      <c r="Q173" s="25" t="str">
        <f aca="false">IF($B173="","",IF(P173&gt;=4,"Done",CHOOSE(P173+1,L173,M173,N173,O173)))</f>
        <v/>
      </c>
      <c r="R173" s="22"/>
    </row>
    <row r="174" customFormat="false" ht="15" hidden="false" customHeight="false" outlineLevel="0" collapsed="false">
      <c r="A174" s="22" t="n">
        <v>173</v>
      </c>
      <c r="B174" s="25"/>
      <c r="C174" s="22"/>
      <c r="D174" s="22"/>
      <c r="E174" s="22"/>
      <c r="F174" s="22"/>
      <c r="G174" s="22"/>
      <c r="H174" s="22"/>
      <c r="I174" s="22"/>
      <c r="J174" s="22"/>
      <c r="K174" s="22"/>
      <c r="L174" s="25" t="str">
        <f aca="false">IF($B174="","",$B174+1)</f>
        <v/>
      </c>
      <c r="M174" s="25" t="str">
        <f aca="false">IF($B174="","",$B174+3)</f>
        <v/>
      </c>
      <c r="N174" s="25" t="str">
        <f aca="false">IF($B174="","",$B174+7)</f>
        <v/>
      </c>
      <c r="O174" s="25" t="str">
        <f aca="false">IF($B174="","",$B174+21)</f>
        <v/>
      </c>
      <c r="P174" s="22"/>
      <c r="Q174" s="25" t="str">
        <f aca="false">IF($B174="","",IF(P174&gt;=4,"Done",CHOOSE(P174+1,L174,M174,N174,O174)))</f>
        <v/>
      </c>
      <c r="R174" s="22"/>
    </row>
    <row r="175" customFormat="false" ht="15" hidden="false" customHeight="false" outlineLevel="0" collapsed="false">
      <c r="A175" s="22" t="n">
        <v>174</v>
      </c>
      <c r="B175" s="25"/>
      <c r="C175" s="22"/>
      <c r="D175" s="22"/>
      <c r="E175" s="22"/>
      <c r="F175" s="22"/>
      <c r="G175" s="22"/>
      <c r="H175" s="22"/>
      <c r="I175" s="22"/>
      <c r="J175" s="22"/>
      <c r="K175" s="22"/>
      <c r="L175" s="25" t="str">
        <f aca="false">IF($B175="","",$B175+1)</f>
        <v/>
      </c>
      <c r="M175" s="25" t="str">
        <f aca="false">IF($B175="","",$B175+3)</f>
        <v/>
      </c>
      <c r="N175" s="25" t="str">
        <f aca="false">IF($B175="","",$B175+7)</f>
        <v/>
      </c>
      <c r="O175" s="25" t="str">
        <f aca="false">IF($B175="","",$B175+21)</f>
        <v/>
      </c>
      <c r="P175" s="22"/>
      <c r="Q175" s="25" t="str">
        <f aca="false">IF($B175="","",IF(P175&gt;=4,"Done",CHOOSE(P175+1,L175,M175,N175,O175)))</f>
        <v/>
      </c>
      <c r="R175" s="22"/>
    </row>
    <row r="176" customFormat="false" ht="15" hidden="false" customHeight="false" outlineLevel="0" collapsed="false">
      <c r="A176" s="22" t="n">
        <v>175</v>
      </c>
      <c r="B176" s="25"/>
      <c r="C176" s="22"/>
      <c r="D176" s="22"/>
      <c r="E176" s="22"/>
      <c r="F176" s="22"/>
      <c r="G176" s="22"/>
      <c r="H176" s="22"/>
      <c r="I176" s="22"/>
      <c r="J176" s="22"/>
      <c r="K176" s="22"/>
      <c r="L176" s="25" t="str">
        <f aca="false">IF($B176="","",$B176+1)</f>
        <v/>
      </c>
      <c r="M176" s="25" t="str">
        <f aca="false">IF($B176="","",$B176+3)</f>
        <v/>
      </c>
      <c r="N176" s="25" t="str">
        <f aca="false">IF($B176="","",$B176+7)</f>
        <v/>
      </c>
      <c r="O176" s="25" t="str">
        <f aca="false">IF($B176="","",$B176+21)</f>
        <v/>
      </c>
      <c r="P176" s="22"/>
      <c r="Q176" s="25" t="str">
        <f aca="false">IF($B176="","",IF(P176&gt;=4,"Done",CHOOSE(P176+1,L176,M176,N176,O176)))</f>
        <v/>
      </c>
      <c r="R176" s="22"/>
    </row>
    <row r="177" customFormat="false" ht="15" hidden="false" customHeight="false" outlineLevel="0" collapsed="false">
      <c r="A177" s="22" t="n">
        <v>176</v>
      </c>
      <c r="B177" s="25"/>
      <c r="C177" s="22"/>
      <c r="D177" s="22"/>
      <c r="E177" s="22"/>
      <c r="F177" s="22"/>
      <c r="G177" s="22"/>
      <c r="H177" s="22"/>
      <c r="I177" s="22"/>
      <c r="J177" s="22"/>
      <c r="K177" s="22"/>
      <c r="L177" s="25" t="str">
        <f aca="false">IF($B177="","",$B177+1)</f>
        <v/>
      </c>
      <c r="M177" s="25" t="str">
        <f aca="false">IF($B177="","",$B177+3)</f>
        <v/>
      </c>
      <c r="N177" s="25" t="str">
        <f aca="false">IF($B177="","",$B177+7)</f>
        <v/>
      </c>
      <c r="O177" s="25" t="str">
        <f aca="false">IF($B177="","",$B177+21)</f>
        <v/>
      </c>
      <c r="P177" s="22"/>
      <c r="Q177" s="25" t="str">
        <f aca="false">IF($B177="","",IF(P177&gt;=4,"Done",CHOOSE(P177+1,L177,M177,N177,O177)))</f>
        <v/>
      </c>
      <c r="R177" s="22"/>
    </row>
    <row r="178" customFormat="false" ht="15" hidden="false" customHeight="false" outlineLevel="0" collapsed="false">
      <c r="A178" s="22" t="n">
        <v>177</v>
      </c>
      <c r="B178" s="25"/>
      <c r="C178" s="22"/>
      <c r="D178" s="22"/>
      <c r="E178" s="22"/>
      <c r="F178" s="22"/>
      <c r="G178" s="22"/>
      <c r="H178" s="22"/>
      <c r="I178" s="22"/>
      <c r="J178" s="22"/>
      <c r="K178" s="22"/>
      <c r="L178" s="25" t="str">
        <f aca="false">IF($B178="","",$B178+1)</f>
        <v/>
      </c>
      <c r="M178" s="25" t="str">
        <f aca="false">IF($B178="","",$B178+3)</f>
        <v/>
      </c>
      <c r="N178" s="25" t="str">
        <f aca="false">IF($B178="","",$B178+7)</f>
        <v/>
      </c>
      <c r="O178" s="25" t="str">
        <f aca="false">IF($B178="","",$B178+21)</f>
        <v/>
      </c>
      <c r="P178" s="22"/>
      <c r="Q178" s="25" t="str">
        <f aca="false">IF($B178="","",IF(P178&gt;=4,"Done",CHOOSE(P178+1,L178,M178,N178,O178)))</f>
        <v/>
      </c>
      <c r="R178" s="22"/>
    </row>
    <row r="179" customFormat="false" ht="15" hidden="false" customHeight="false" outlineLevel="0" collapsed="false">
      <c r="A179" s="22" t="n">
        <v>178</v>
      </c>
      <c r="B179" s="25"/>
      <c r="C179" s="22"/>
      <c r="D179" s="22"/>
      <c r="E179" s="22"/>
      <c r="F179" s="22"/>
      <c r="G179" s="22"/>
      <c r="H179" s="22"/>
      <c r="I179" s="22"/>
      <c r="J179" s="22"/>
      <c r="K179" s="22"/>
      <c r="L179" s="25" t="str">
        <f aca="false">IF($B179="","",$B179+1)</f>
        <v/>
      </c>
      <c r="M179" s="25" t="str">
        <f aca="false">IF($B179="","",$B179+3)</f>
        <v/>
      </c>
      <c r="N179" s="25" t="str">
        <f aca="false">IF($B179="","",$B179+7)</f>
        <v/>
      </c>
      <c r="O179" s="25" t="str">
        <f aca="false">IF($B179="","",$B179+21)</f>
        <v/>
      </c>
      <c r="P179" s="22"/>
      <c r="Q179" s="25" t="str">
        <f aca="false">IF($B179="","",IF(P179&gt;=4,"Done",CHOOSE(P179+1,L179,M179,N179,O179)))</f>
        <v/>
      </c>
      <c r="R179" s="22"/>
    </row>
    <row r="180" customFormat="false" ht="15" hidden="false" customHeight="false" outlineLevel="0" collapsed="false">
      <c r="A180" s="22" t="n">
        <v>179</v>
      </c>
      <c r="B180" s="25"/>
      <c r="C180" s="22"/>
      <c r="D180" s="22"/>
      <c r="E180" s="22"/>
      <c r="F180" s="22"/>
      <c r="G180" s="22"/>
      <c r="H180" s="22"/>
      <c r="I180" s="22"/>
      <c r="J180" s="22"/>
      <c r="K180" s="22"/>
      <c r="L180" s="25" t="str">
        <f aca="false">IF($B180="","",$B180+1)</f>
        <v/>
      </c>
      <c r="M180" s="25" t="str">
        <f aca="false">IF($B180="","",$B180+3)</f>
        <v/>
      </c>
      <c r="N180" s="25" t="str">
        <f aca="false">IF($B180="","",$B180+7)</f>
        <v/>
      </c>
      <c r="O180" s="25" t="str">
        <f aca="false">IF($B180="","",$B180+21)</f>
        <v/>
      </c>
      <c r="P180" s="22"/>
      <c r="Q180" s="25" t="str">
        <f aca="false">IF($B180="","",IF(P180&gt;=4,"Done",CHOOSE(P180+1,L180,M180,N180,O180)))</f>
        <v/>
      </c>
      <c r="R180" s="22"/>
    </row>
    <row r="181" customFormat="false" ht="15" hidden="false" customHeight="false" outlineLevel="0" collapsed="false">
      <c r="A181" s="22" t="n">
        <v>180</v>
      </c>
      <c r="B181" s="25"/>
      <c r="C181" s="22"/>
      <c r="D181" s="22"/>
      <c r="E181" s="22"/>
      <c r="F181" s="22"/>
      <c r="G181" s="22"/>
      <c r="H181" s="22"/>
      <c r="I181" s="22"/>
      <c r="J181" s="22"/>
      <c r="K181" s="22"/>
      <c r="L181" s="25" t="str">
        <f aca="false">IF($B181="","",$B181+1)</f>
        <v/>
      </c>
      <c r="M181" s="25" t="str">
        <f aca="false">IF($B181="","",$B181+3)</f>
        <v/>
      </c>
      <c r="N181" s="25" t="str">
        <f aca="false">IF($B181="","",$B181+7)</f>
        <v/>
      </c>
      <c r="O181" s="25" t="str">
        <f aca="false">IF($B181="","",$B181+21)</f>
        <v/>
      </c>
      <c r="P181" s="22"/>
      <c r="Q181" s="25" t="str">
        <f aca="false">IF($B181="","",IF(P181&gt;=4,"Done",CHOOSE(P181+1,L181,M181,N181,O181)))</f>
        <v/>
      </c>
      <c r="R181" s="22"/>
    </row>
    <row r="182" customFormat="false" ht="15" hidden="false" customHeight="false" outlineLevel="0" collapsed="false">
      <c r="A182" s="22" t="n">
        <v>181</v>
      </c>
      <c r="B182" s="25"/>
      <c r="C182" s="22"/>
      <c r="D182" s="22"/>
      <c r="E182" s="22"/>
      <c r="F182" s="22"/>
      <c r="G182" s="22"/>
      <c r="H182" s="22"/>
      <c r="I182" s="22"/>
      <c r="J182" s="22"/>
      <c r="K182" s="22"/>
      <c r="L182" s="25" t="str">
        <f aca="false">IF($B182="","",$B182+1)</f>
        <v/>
      </c>
      <c r="M182" s="25" t="str">
        <f aca="false">IF($B182="","",$B182+3)</f>
        <v/>
      </c>
      <c r="N182" s="25" t="str">
        <f aca="false">IF($B182="","",$B182+7)</f>
        <v/>
      </c>
      <c r="O182" s="25" t="str">
        <f aca="false">IF($B182="","",$B182+21)</f>
        <v/>
      </c>
      <c r="P182" s="22"/>
      <c r="Q182" s="25" t="str">
        <f aca="false">IF($B182="","",IF(P182&gt;=4,"Done",CHOOSE(P182+1,L182,M182,N182,O182)))</f>
        <v/>
      </c>
      <c r="R182" s="22"/>
    </row>
    <row r="183" customFormat="false" ht="15" hidden="false" customHeight="false" outlineLevel="0" collapsed="false">
      <c r="A183" s="22" t="n">
        <v>182</v>
      </c>
      <c r="B183" s="25"/>
      <c r="C183" s="22"/>
      <c r="D183" s="22"/>
      <c r="E183" s="22"/>
      <c r="F183" s="22"/>
      <c r="G183" s="22"/>
      <c r="H183" s="22"/>
      <c r="I183" s="22"/>
      <c r="J183" s="22"/>
      <c r="K183" s="22"/>
      <c r="L183" s="25" t="str">
        <f aca="false">IF($B183="","",$B183+1)</f>
        <v/>
      </c>
      <c r="M183" s="25" t="str">
        <f aca="false">IF($B183="","",$B183+3)</f>
        <v/>
      </c>
      <c r="N183" s="25" t="str">
        <f aca="false">IF($B183="","",$B183+7)</f>
        <v/>
      </c>
      <c r="O183" s="25" t="str">
        <f aca="false">IF($B183="","",$B183+21)</f>
        <v/>
      </c>
      <c r="P183" s="22"/>
      <c r="Q183" s="25" t="str">
        <f aca="false">IF($B183="","",IF(P183&gt;=4,"Done",CHOOSE(P183+1,L183,M183,N183,O183)))</f>
        <v/>
      </c>
      <c r="R183" s="22"/>
    </row>
    <row r="184" customFormat="false" ht="15" hidden="false" customHeight="false" outlineLevel="0" collapsed="false">
      <c r="A184" s="22" t="n">
        <v>183</v>
      </c>
      <c r="B184" s="25"/>
      <c r="C184" s="22"/>
      <c r="D184" s="22"/>
      <c r="E184" s="22"/>
      <c r="F184" s="22"/>
      <c r="G184" s="22"/>
      <c r="H184" s="22"/>
      <c r="I184" s="22"/>
      <c r="J184" s="22"/>
      <c r="K184" s="22"/>
      <c r="L184" s="25" t="str">
        <f aca="false">IF($B184="","",$B184+1)</f>
        <v/>
      </c>
      <c r="M184" s="25" t="str">
        <f aca="false">IF($B184="","",$B184+3)</f>
        <v/>
      </c>
      <c r="N184" s="25" t="str">
        <f aca="false">IF($B184="","",$B184+7)</f>
        <v/>
      </c>
      <c r="O184" s="25" t="str">
        <f aca="false">IF($B184="","",$B184+21)</f>
        <v/>
      </c>
      <c r="P184" s="22"/>
      <c r="Q184" s="25" t="str">
        <f aca="false">IF($B184="","",IF(P184&gt;=4,"Done",CHOOSE(P184+1,L184,M184,N184,O184)))</f>
        <v/>
      </c>
      <c r="R184" s="22"/>
    </row>
    <row r="185" customFormat="false" ht="15" hidden="false" customHeight="false" outlineLevel="0" collapsed="false">
      <c r="A185" s="22" t="n">
        <v>184</v>
      </c>
      <c r="B185" s="25"/>
      <c r="C185" s="22"/>
      <c r="D185" s="22"/>
      <c r="E185" s="22"/>
      <c r="F185" s="22"/>
      <c r="G185" s="22"/>
      <c r="H185" s="22"/>
      <c r="I185" s="22"/>
      <c r="J185" s="22"/>
      <c r="K185" s="22"/>
      <c r="L185" s="25" t="str">
        <f aca="false">IF($B185="","",$B185+1)</f>
        <v/>
      </c>
      <c r="M185" s="25" t="str">
        <f aca="false">IF($B185="","",$B185+3)</f>
        <v/>
      </c>
      <c r="N185" s="25" t="str">
        <f aca="false">IF($B185="","",$B185+7)</f>
        <v/>
      </c>
      <c r="O185" s="25" t="str">
        <f aca="false">IF($B185="","",$B185+21)</f>
        <v/>
      </c>
      <c r="P185" s="22"/>
      <c r="Q185" s="25" t="str">
        <f aca="false">IF($B185="","",IF(P185&gt;=4,"Done",CHOOSE(P185+1,L185,M185,N185,O185)))</f>
        <v/>
      </c>
      <c r="R185" s="22"/>
    </row>
    <row r="186" customFormat="false" ht="15" hidden="false" customHeight="false" outlineLevel="0" collapsed="false">
      <c r="A186" s="22" t="n">
        <v>185</v>
      </c>
      <c r="B186" s="25"/>
      <c r="C186" s="22"/>
      <c r="D186" s="22"/>
      <c r="E186" s="22"/>
      <c r="F186" s="22"/>
      <c r="G186" s="22"/>
      <c r="H186" s="22"/>
      <c r="I186" s="22"/>
      <c r="J186" s="22"/>
      <c r="K186" s="22"/>
      <c r="L186" s="25" t="str">
        <f aca="false">IF($B186="","",$B186+1)</f>
        <v/>
      </c>
      <c r="M186" s="25" t="str">
        <f aca="false">IF($B186="","",$B186+3)</f>
        <v/>
      </c>
      <c r="N186" s="25" t="str">
        <f aca="false">IF($B186="","",$B186+7)</f>
        <v/>
      </c>
      <c r="O186" s="25" t="str">
        <f aca="false">IF($B186="","",$B186+21)</f>
        <v/>
      </c>
      <c r="P186" s="22"/>
      <c r="Q186" s="25" t="str">
        <f aca="false">IF($B186="","",IF(P186&gt;=4,"Done",CHOOSE(P186+1,L186,M186,N186,O186)))</f>
        <v/>
      </c>
      <c r="R186" s="22"/>
    </row>
    <row r="187" customFormat="false" ht="15" hidden="false" customHeight="false" outlineLevel="0" collapsed="false">
      <c r="A187" s="22" t="n">
        <v>186</v>
      </c>
      <c r="B187" s="25"/>
      <c r="C187" s="22"/>
      <c r="D187" s="22"/>
      <c r="E187" s="22"/>
      <c r="F187" s="22"/>
      <c r="G187" s="22"/>
      <c r="H187" s="22"/>
      <c r="I187" s="22"/>
      <c r="J187" s="22"/>
      <c r="K187" s="22"/>
      <c r="L187" s="25" t="str">
        <f aca="false">IF($B187="","",$B187+1)</f>
        <v/>
      </c>
      <c r="M187" s="25" t="str">
        <f aca="false">IF($B187="","",$B187+3)</f>
        <v/>
      </c>
      <c r="N187" s="25" t="str">
        <f aca="false">IF($B187="","",$B187+7)</f>
        <v/>
      </c>
      <c r="O187" s="25" t="str">
        <f aca="false">IF($B187="","",$B187+21)</f>
        <v/>
      </c>
      <c r="P187" s="22"/>
      <c r="Q187" s="25" t="str">
        <f aca="false">IF($B187="","",IF(P187&gt;=4,"Done",CHOOSE(P187+1,L187,M187,N187,O187)))</f>
        <v/>
      </c>
      <c r="R187" s="22"/>
    </row>
    <row r="188" customFormat="false" ht="15" hidden="false" customHeight="false" outlineLevel="0" collapsed="false">
      <c r="A188" s="22" t="n">
        <v>187</v>
      </c>
      <c r="B188" s="25"/>
      <c r="C188" s="22"/>
      <c r="D188" s="22"/>
      <c r="E188" s="22"/>
      <c r="F188" s="22"/>
      <c r="G188" s="22"/>
      <c r="H188" s="22"/>
      <c r="I188" s="22"/>
      <c r="J188" s="22"/>
      <c r="K188" s="22"/>
      <c r="L188" s="25" t="str">
        <f aca="false">IF($B188="","",$B188+1)</f>
        <v/>
      </c>
      <c r="M188" s="25" t="str">
        <f aca="false">IF($B188="","",$B188+3)</f>
        <v/>
      </c>
      <c r="N188" s="25" t="str">
        <f aca="false">IF($B188="","",$B188+7)</f>
        <v/>
      </c>
      <c r="O188" s="25" t="str">
        <f aca="false">IF($B188="","",$B188+21)</f>
        <v/>
      </c>
      <c r="P188" s="22"/>
      <c r="Q188" s="25" t="str">
        <f aca="false">IF($B188="","",IF(P188&gt;=4,"Done",CHOOSE(P188+1,L188,M188,N188,O188)))</f>
        <v/>
      </c>
      <c r="R188" s="22"/>
    </row>
    <row r="189" customFormat="false" ht="15" hidden="false" customHeight="false" outlineLevel="0" collapsed="false">
      <c r="A189" s="22" t="n">
        <v>188</v>
      </c>
      <c r="B189" s="25"/>
      <c r="C189" s="22"/>
      <c r="D189" s="22"/>
      <c r="E189" s="22"/>
      <c r="F189" s="22"/>
      <c r="G189" s="22"/>
      <c r="H189" s="22"/>
      <c r="I189" s="22"/>
      <c r="J189" s="22"/>
      <c r="K189" s="22"/>
      <c r="L189" s="25" t="str">
        <f aca="false">IF($B189="","",$B189+1)</f>
        <v/>
      </c>
      <c r="M189" s="25" t="str">
        <f aca="false">IF($B189="","",$B189+3)</f>
        <v/>
      </c>
      <c r="N189" s="25" t="str">
        <f aca="false">IF($B189="","",$B189+7)</f>
        <v/>
      </c>
      <c r="O189" s="25" t="str">
        <f aca="false">IF($B189="","",$B189+21)</f>
        <v/>
      </c>
      <c r="P189" s="22"/>
      <c r="Q189" s="25" t="str">
        <f aca="false">IF($B189="","",IF(P189&gt;=4,"Done",CHOOSE(P189+1,L189,M189,N189,O189)))</f>
        <v/>
      </c>
      <c r="R189" s="22"/>
    </row>
    <row r="190" customFormat="false" ht="15" hidden="false" customHeight="false" outlineLevel="0" collapsed="false">
      <c r="A190" s="22" t="n">
        <v>189</v>
      </c>
      <c r="B190" s="25"/>
      <c r="C190" s="22"/>
      <c r="D190" s="22"/>
      <c r="E190" s="22"/>
      <c r="F190" s="22"/>
      <c r="G190" s="22"/>
      <c r="H190" s="22"/>
      <c r="I190" s="22"/>
      <c r="J190" s="22"/>
      <c r="K190" s="22"/>
      <c r="L190" s="25" t="str">
        <f aca="false">IF($B190="","",$B190+1)</f>
        <v/>
      </c>
      <c r="M190" s="25" t="str">
        <f aca="false">IF($B190="","",$B190+3)</f>
        <v/>
      </c>
      <c r="N190" s="25" t="str">
        <f aca="false">IF($B190="","",$B190+7)</f>
        <v/>
      </c>
      <c r="O190" s="25" t="str">
        <f aca="false">IF($B190="","",$B190+21)</f>
        <v/>
      </c>
      <c r="P190" s="22"/>
      <c r="Q190" s="25" t="str">
        <f aca="false">IF($B190="","",IF(P190&gt;=4,"Done",CHOOSE(P190+1,L190,M190,N190,O190)))</f>
        <v/>
      </c>
      <c r="R190" s="22"/>
    </row>
    <row r="191" customFormat="false" ht="15" hidden="false" customHeight="false" outlineLevel="0" collapsed="false">
      <c r="A191" s="22" t="n">
        <v>190</v>
      </c>
      <c r="B191" s="25"/>
      <c r="C191" s="22"/>
      <c r="D191" s="22"/>
      <c r="E191" s="22"/>
      <c r="F191" s="22"/>
      <c r="G191" s="22"/>
      <c r="H191" s="22"/>
      <c r="I191" s="22"/>
      <c r="J191" s="22"/>
      <c r="K191" s="22"/>
      <c r="L191" s="25" t="str">
        <f aca="false">IF($B191="","",$B191+1)</f>
        <v/>
      </c>
      <c r="M191" s="25" t="str">
        <f aca="false">IF($B191="","",$B191+3)</f>
        <v/>
      </c>
      <c r="N191" s="25" t="str">
        <f aca="false">IF($B191="","",$B191+7)</f>
        <v/>
      </c>
      <c r="O191" s="25" t="str">
        <f aca="false">IF($B191="","",$B191+21)</f>
        <v/>
      </c>
      <c r="P191" s="22"/>
      <c r="Q191" s="25" t="str">
        <f aca="false">IF($B191="","",IF(P191&gt;=4,"Done",CHOOSE(P191+1,L191,M191,N191,O191)))</f>
        <v/>
      </c>
      <c r="R191" s="22"/>
    </row>
    <row r="192" customFormat="false" ht="15" hidden="false" customHeight="false" outlineLevel="0" collapsed="false">
      <c r="A192" s="22" t="n">
        <v>191</v>
      </c>
      <c r="B192" s="25"/>
      <c r="C192" s="22"/>
      <c r="D192" s="22"/>
      <c r="E192" s="22"/>
      <c r="F192" s="22"/>
      <c r="G192" s="22"/>
      <c r="H192" s="22"/>
      <c r="I192" s="22"/>
      <c r="J192" s="22"/>
      <c r="K192" s="22"/>
      <c r="L192" s="25" t="str">
        <f aca="false">IF($B192="","",$B192+1)</f>
        <v/>
      </c>
      <c r="M192" s="25" t="str">
        <f aca="false">IF($B192="","",$B192+3)</f>
        <v/>
      </c>
      <c r="N192" s="25" t="str">
        <f aca="false">IF($B192="","",$B192+7)</f>
        <v/>
      </c>
      <c r="O192" s="25" t="str">
        <f aca="false">IF($B192="","",$B192+21)</f>
        <v/>
      </c>
      <c r="P192" s="22"/>
      <c r="Q192" s="25" t="str">
        <f aca="false">IF($B192="","",IF(P192&gt;=4,"Done",CHOOSE(P192+1,L192,M192,N192,O192)))</f>
        <v/>
      </c>
      <c r="R192" s="22"/>
    </row>
    <row r="193" customFormat="false" ht="15" hidden="false" customHeight="false" outlineLevel="0" collapsed="false">
      <c r="A193" s="22" t="n">
        <v>192</v>
      </c>
      <c r="B193" s="25"/>
      <c r="C193" s="22"/>
      <c r="D193" s="22"/>
      <c r="E193" s="22"/>
      <c r="F193" s="22"/>
      <c r="G193" s="22"/>
      <c r="H193" s="22"/>
      <c r="I193" s="22"/>
      <c r="J193" s="22"/>
      <c r="K193" s="22"/>
      <c r="L193" s="25" t="str">
        <f aca="false">IF($B193="","",$B193+1)</f>
        <v/>
      </c>
      <c r="M193" s="25" t="str">
        <f aca="false">IF($B193="","",$B193+3)</f>
        <v/>
      </c>
      <c r="N193" s="25" t="str">
        <f aca="false">IF($B193="","",$B193+7)</f>
        <v/>
      </c>
      <c r="O193" s="25" t="str">
        <f aca="false">IF($B193="","",$B193+21)</f>
        <v/>
      </c>
      <c r="P193" s="22"/>
      <c r="Q193" s="25" t="str">
        <f aca="false">IF($B193="","",IF(P193&gt;=4,"Done",CHOOSE(P193+1,L193,M193,N193,O193)))</f>
        <v/>
      </c>
      <c r="R193" s="22"/>
    </row>
    <row r="194" customFormat="false" ht="15" hidden="false" customHeight="false" outlineLevel="0" collapsed="false">
      <c r="A194" s="22" t="n">
        <v>193</v>
      </c>
      <c r="B194" s="25"/>
      <c r="C194" s="22"/>
      <c r="D194" s="22"/>
      <c r="E194" s="22"/>
      <c r="F194" s="22"/>
      <c r="G194" s="22"/>
      <c r="H194" s="22"/>
      <c r="I194" s="22"/>
      <c r="J194" s="22"/>
      <c r="K194" s="22"/>
      <c r="L194" s="25" t="str">
        <f aca="false">IF($B194="","",$B194+1)</f>
        <v/>
      </c>
      <c r="M194" s="25" t="str">
        <f aca="false">IF($B194="","",$B194+3)</f>
        <v/>
      </c>
      <c r="N194" s="25" t="str">
        <f aca="false">IF($B194="","",$B194+7)</f>
        <v/>
      </c>
      <c r="O194" s="25" t="str">
        <f aca="false">IF($B194="","",$B194+21)</f>
        <v/>
      </c>
      <c r="P194" s="22"/>
      <c r="Q194" s="25" t="str">
        <f aca="false">IF($B194="","",IF(P194&gt;=4,"Done",CHOOSE(P194+1,L194,M194,N194,O194)))</f>
        <v/>
      </c>
      <c r="R194" s="22"/>
    </row>
    <row r="195" customFormat="false" ht="15" hidden="false" customHeight="false" outlineLevel="0" collapsed="false">
      <c r="A195" s="22" t="n">
        <v>194</v>
      </c>
      <c r="B195" s="25"/>
      <c r="C195" s="22"/>
      <c r="D195" s="22"/>
      <c r="E195" s="22"/>
      <c r="F195" s="22"/>
      <c r="G195" s="22"/>
      <c r="H195" s="22"/>
      <c r="I195" s="22"/>
      <c r="J195" s="22"/>
      <c r="K195" s="22"/>
      <c r="L195" s="25" t="str">
        <f aca="false">IF($B195="","",$B195+1)</f>
        <v/>
      </c>
      <c r="M195" s="25" t="str">
        <f aca="false">IF($B195="","",$B195+3)</f>
        <v/>
      </c>
      <c r="N195" s="25" t="str">
        <f aca="false">IF($B195="","",$B195+7)</f>
        <v/>
      </c>
      <c r="O195" s="25" t="str">
        <f aca="false">IF($B195="","",$B195+21)</f>
        <v/>
      </c>
      <c r="P195" s="22"/>
      <c r="Q195" s="25" t="str">
        <f aca="false">IF($B195="","",IF(P195&gt;=4,"Done",CHOOSE(P195+1,L195,M195,N195,O195)))</f>
        <v/>
      </c>
      <c r="R195" s="22"/>
    </row>
    <row r="196" customFormat="false" ht="15" hidden="false" customHeight="false" outlineLevel="0" collapsed="false">
      <c r="A196" s="22" t="n">
        <v>195</v>
      </c>
      <c r="B196" s="25"/>
      <c r="C196" s="22"/>
      <c r="D196" s="22"/>
      <c r="E196" s="22"/>
      <c r="F196" s="22"/>
      <c r="G196" s="22"/>
      <c r="H196" s="22"/>
      <c r="I196" s="22"/>
      <c r="J196" s="22"/>
      <c r="K196" s="22"/>
      <c r="L196" s="25" t="str">
        <f aca="false">IF($B196="","",$B196+1)</f>
        <v/>
      </c>
      <c r="M196" s="25" t="str">
        <f aca="false">IF($B196="","",$B196+3)</f>
        <v/>
      </c>
      <c r="N196" s="25" t="str">
        <f aca="false">IF($B196="","",$B196+7)</f>
        <v/>
      </c>
      <c r="O196" s="25" t="str">
        <f aca="false">IF($B196="","",$B196+21)</f>
        <v/>
      </c>
      <c r="P196" s="22"/>
      <c r="Q196" s="25" t="str">
        <f aca="false">IF($B196="","",IF(P196&gt;=4,"Done",CHOOSE(P196+1,L196,M196,N196,O196)))</f>
        <v/>
      </c>
      <c r="R196" s="22"/>
    </row>
    <row r="197" customFormat="false" ht="15" hidden="false" customHeight="false" outlineLevel="0" collapsed="false">
      <c r="A197" s="22" t="n">
        <v>196</v>
      </c>
      <c r="B197" s="25"/>
      <c r="C197" s="22"/>
      <c r="D197" s="22"/>
      <c r="E197" s="22"/>
      <c r="F197" s="22"/>
      <c r="G197" s="22"/>
      <c r="H197" s="22"/>
      <c r="I197" s="22"/>
      <c r="J197" s="22"/>
      <c r="K197" s="22"/>
      <c r="L197" s="25" t="str">
        <f aca="false">IF($B197="","",$B197+1)</f>
        <v/>
      </c>
      <c r="M197" s="25" t="str">
        <f aca="false">IF($B197="","",$B197+3)</f>
        <v/>
      </c>
      <c r="N197" s="25" t="str">
        <f aca="false">IF($B197="","",$B197+7)</f>
        <v/>
      </c>
      <c r="O197" s="25" t="str">
        <f aca="false">IF($B197="","",$B197+21)</f>
        <v/>
      </c>
      <c r="P197" s="22"/>
      <c r="Q197" s="25" t="str">
        <f aca="false">IF($B197="","",IF(P197&gt;=4,"Done",CHOOSE(P197+1,L197,M197,N197,O197)))</f>
        <v/>
      </c>
      <c r="R197" s="22"/>
    </row>
    <row r="198" customFormat="false" ht="15" hidden="false" customHeight="false" outlineLevel="0" collapsed="false">
      <c r="A198" s="22" t="n">
        <v>197</v>
      </c>
      <c r="B198" s="25"/>
      <c r="C198" s="22"/>
      <c r="D198" s="22"/>
      <c r="E198" s="22"/>
      <c r="F198" s="22"/>
      <c r="G198" s="22"/>
      <c r="H198" s="22"/>
      <c r="I198" s="22"/>
      <c r="J198" s="22"/>
      <c r="K198" s="22"/>
      <c r="L198" s="25" t="str">
        <f aca="false">IF($B198="","",$B198+1)</f>
        <v/>
      </c>
      <c r="M198" s="25" t="str">
        <f aca="false">IF($B198="","",$B198+3)</f>
        <v/>
      </c>
      <c r="N198" s="25" t="str">
        <f aca="false">IF($B198="","",$B198+7)</f>
        <v/>
      </c>
      <c r="O198" s="25" t="str">
        <f aca="false">IF($B198="","",$B198+21)</f>
        <v/>
      </c>
      <c r="P198" s="22"/>
      <c r="Q198" s="25" t="str">
        <f aca="false">IF($B198="","",IF(P198&gt;=4,"Done",CHOOSE(P198+1,L198,M198,N198,O198)))</f>
        <v/>
      </c>
      <c r="R198" s="22"/>
    </row>
    <row r="199" customFormat="false" ht="15" hidden="false" customHeight="false" outlineLevel="0" collapsed="false">
      <c r="A199" s="22" t="n">
        <v>198</v>
      </c>
      <c r="B199" s="25"/>
      <c r="C199" s="22"/>
      <c r="D199" s="22"/>
      <c r="E199" s="22"/>
      <c r="F199" s="22"/>
      <c r="G199" s="22"/>
      <c r="H199" s="22"/>
      <c r="I199" s="22"/>
      <c r="J199" s="22"/>
      <c r="K199" s="22"/>
      <c r="L199" s="25" t="str">
        <f aca="false">IF($B199="","",$B199+1)</f>
        <v/>
      </c>
      <c r="M199" s="25" t="str">
        <f aca="false">IF($B199="","",$B199+3)</f>
        <v/>
      </c>
      <c r="N199" s="25" t="str">
        <f aca="false">IF($B199="","",$B199+7)</f>
        <v/>
      </c>
      <c r="O199" s="25" t="str">
        <f aca="false">IF($B199="","",$B199+21)</f>
        <v/>
      </c>
      <c r="P199" s="22"/>
      <c r="Q199" s="25" t="str">
        <f aca="false">IF($B199="","",IF(P199&gt;=4,"Done",CHOOSE(P199+1,L199,M199,N199,O199)))</f>
        <v/>
      </c>
      <c r="R199" s="22"/>
    </row>
    <row r="200" customFormat="false" ht="15" hidden="false" customHeight="false" outlineLevel="0" collapsed="false">
      <c r="A200" s="22" t="n">
        <v>199</v>
      </c>
      <c r="B200" s="25"/>
      <c r="C200" s="22"/>
      <c r="D200" s="22"/>
      <c r="E200" s="22"/>
      <c r="F200" s="22"/>
      <c r="G200" s="22"/>
      <c r="H200" s="22"/>
      <c r="I200" s="22"/>
      <c r="J200" s="22"/>
      <c r="K200" s="22"/>
      <c r="L200" s="25" t="str">
        <f aca="false">IF($B200="","",$B200+1)</f>
        <v/>
      </c>
      <c r="M200" s="25" t="str">
        <f aca="false">IF($B200="","",$B200+3)</f>
        <v/>
      </c>
      <c r="N200" s="25" t="str">
        <f aca="false">IF($B200="","",$B200+7)</f>
        <v/>
      </c>
      <c r="O200" s="25" t="str">
        <f aca="false">IF($B200="","",$B200+21)</f>
        <v/>
      </c>
      <c r="P200" s="22"/>
      <c r="Q200" s="25" t="str">
        <f aca="false">IF($B200="","",IF(P200&gt;=4,"Done",CHOOSE(P200+1,L200,M200,N200,O200)))</f>
        <v/>
      </c>
      <c r="R200" s="22"/>
    </row>
    <row r="201" customFormat="false" ht="15" hidden="false" customHeight="false" outlineLevel="0" collapsed="false">
      <c r="A201" s="22" t="n">
        <v>200</v>
      </c>
      <c r="B201" s="25"/>
      <c r="C201" s="22"/>
      <c r="D201" s="22"/>
      <c r="E201" s="22"/>
      <c r="F201" s="22"/>
      <c r="G201" s="22"/>
      <c r="H201" s="22"/>
      <c r="I201" s="22"/>
      <c r="J201" s="22"/>
      <c r="K201" s="22"/>
      <c r="L201" s="25" t="str">
        <f aca="false">IF($B201="","",$B201+1)</f>
        <v/>
      </c>
      <c r="M201" s="25" t="str">
        <f aca="false">IF($B201="","",$B201+3)</f>
        <v/>
      </c>
      <c r="N201" s="25" t="str">
        <f aca="false">IF($B201="","",$B201+7)</f>
        <v/>
      </c>
      <c r="O201" s="25" t="str">
        <f aca="false">IF($B201="","",$B201+21)</f>
        <v/>
      </c>
      <c r="P201" s="22"/>
      <c r="Q201" s="25" t="str">
        <f aca="false">IF($B201="","",IF(P201&gt;=4,"Done",CHOOSE(P201+1,L201,M201,N201,O201)))</f>
        <v/>
      </c>
      <c r="R201" s="22"/>
    </row>
    <row r="204" customFormat="false" ht="15" hidden="false" customHeight="false" outlineLevel="0" collapsed="false">
      <c r="A204" s="16" t="s">
        <v>828</v>
      </c>
    </row>
  </sheetData>
  <autoFilter ref="A1:R201"/>
  <conditionalFormatting sqref="Q3:Q201">
    <cfRule type="expression" priority="2" aboveAverage="0" equalAverage="0" bottom="0" percent="0" rank="0" text="" dxfId="6">
      <formula>AND(ISNUMBER(Q3),Q3&lt;=TODAY())</formula>
    </cfRule>
  </conditionalFormatting>
  <dataValidations count="5">
    <dataValidation allowBlank="true" errorStyle="stop" operator="between" showDropDown="false" showErrorMessage="false" showInputMessage="false" sqref="D2:D201" type="list">
      <formula1>"Arrays/strings,Hash map,Two pointers,Sliding window,Prefix sums,Stack/queue,Linked list,Binary search,Recursion,Sorting/intervals,Tree,BST,Heap,BFS,DFS,Graph,Backtracking,Union-find,Trie,Greedy,DP,Bit"</formula1>
      <formula2>0</formula2>
    </dataValidation>
    <dataValidation allowBlank="true" errorStyle="stop" operator="between" showDropDown="false" showErrorMessage="false" showInputMessage="false" sqref="E2:E201" type="list">
      <formula1>"Easy,Medium,Hard"</formula1>
      <formula2>0</formula2>
    </dataValidation>
    <dataValidation allowBlank="true" errorStyle="stop" operator="between" showDropDown="false" showErrorMessage="false" showInputMessage="false" sqref="G2:I201" type="list">
      <formula1>"Yes,No"</formula1>
      <formula2>0</formula2>
    </dataValidation>
    <dataValidation allowBlank="true" errorStyle="stop" operator="between" showDropDown="false" showErrorMessage="false" showInputMessage="false" sqref="K2:K201" type="list">
      <formula1>"Yes,No"</formula1>
      <formula2>0</formula2>
    </dataValidation>
    <dataValidation allowBlank="true" errorStyle="stop" operator="between" showDropDown="false" showErrorMessage="false" showInputMessage="false" sqref="P2:P201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7" min="6" style="0" width="42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42"/>
    <col collapsed="false" customWidth="true" hidden="false" outlineLevel="0" max="11" min="11" style="0" width="34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21" t="s">
        <v>806</v>
      </c>
      <c r="B1" s="21" t="s">
        <v>109</v>
      </c>
      <c r="C1" s="21" t="s">
        <v>829</v>
      </c>
      <c r="D1" s="21" t="s">
        <v>830</v>
      </c>
      <c r="E1" s="21" t="s">
        <v>792</v>
      </c>
      <c r="F1" s="21" t="s">
        <v>831</v>
      </c>
      <c r="G1" s="21" t="s">
        <v>832</v>
      </c>
      <c r="H1" s="21" t="s">
        <v>833</v>
      </c>
      <c r="I1" s="21" t="s">
        <v>834</v>
      </c>
      <c r="J1" s="21" t="s">
        <v>835</v>
      </c>
      <c r="K1" s="21" t="s">
        <v>836</v>
      </c>
      <c r="L1" s="21" t="s">
        <v>837</v>
      </c>
    </row>
    <row r="2" customFormat="false" ht="15" hidden="false" customHeight="false" outlineLevel="0" collapsed="false">
      <c r="A2" s="32" t="n">
        <v>1</v>
      </c>
      <c r="B2" s="33" t="n">
        <v>46027</v>
      </c>
      <c r="C2" s="34" t="s">
        <v>424</v>
      </c>
      <c r="D2" s="34" t="s">
        <v>838</v>
      </c>
      <c r="E2" s="34" t="s">
        <v>839</v>
      </c>
      <c r="F2" s="34" t="s">
        <v>840</v>
      </c>
      <c r="G2" s="34" t="s">
        <v>841</v>
      </c>
      <c r="H2" s="34" t="n">
        <v>3</v>
      </c>
      <c r="I2" s="34" t="s">
        <v>842</v>
      </c>
      <c r="J2" s="34" t="s">
        <v>843</v>
      </c>
      <c r="K2" s="34" t="s">
        <v>844</v>
      </c>
      <c r="L2" s="34" t="s">
        <v>845</v>
      </c>
    </row>
    <row r="3" customFormat="false" ht="15" hidden="false" customHeight="false" outlineLevel="0" collapsed="false">
      <c r="A3" s="22" t="n">
        <v>2</v>
      </c>
      <c r="B3" s="25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15" hidden="false" customHeight="false" outlineLevel="0" collapsed="false">
      <c r="A4" s="22" t="n">
        <v>3</v>
      </c>
      <c r="B4" s="25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customFormat="false" ht="15" hidden="false" customHeight="false" outlineLevel="0" collapsed="false">
      <c r="A5" s="22" t="n">
        <v>4</v>
      </c>
      <c r="B5" s="25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customFormat="false" ht="15" hidden="false" customHeight="false" outlineLevel="0" collapsed="false">
      <c r="A6" s="22" t="n">
        <v>5</v>
      </c>
      <c r="B6" s="25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customFormat="false" ht="15" hidden="false" customHeight="false" outlineLevel="0" collapsed="false">
      <c r="A7" s="22" t="n">
        <v>6</v>
      </c>
      <c r="B7" s="25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customFormat="false" ht="15" hidden="false" customHeight="false" outlineLevel="0" collapsed="false">
      <c r="A8" s="22" t="n">
        <v>7</v>
      </c>
      <c r="B8" s="25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15" hidden="false" customHeight="false" outlineLevel="0" collapsed="false">
      <c r="A9" s="22" t="n">
        <v>8</v>
      </c>
      <c r="B9" s="25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customFormat="false" ht="15" hidden="false" customHeight="false" outlineLevel="0" collapsed="false">
      <c r="A10" s="22" t="n">
        <v>9</v>
      </c>
      <c r="B10" s="25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customFormat="false" ht="15" hidden="false" customHeight="false" outlineLevel="0" collapsed="false">
      <c r="A11" s="22" t="n">
        <v>10</v>
      </c>
      <c r="B11" s="25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customFormat="false" ht="15" hidden="false" customHeight="false" outlineLevel="0" collapsed="false">
      <c r="A12" s="22" t="n">
        <v>11</v>
      </c>
      <c r="B12" s="25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customFormat="false" ht="15" hidden="false" customHeight="false" outlineLevel="0" collapsed="false">
      <c r="A13" s="22" t="n">
        <v>12</v>
      </c>
      <c r="B13" s="25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customFormat="false" ht="15" hidden="false" customHeight="false" outlineLevel="0" collapsed="false">
      <c r="A14" s="22" t="n">
        <v>13</v>
      </c>
      <c r="B14" s="25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customFormat="false" ht="15" hidden="false" customHeight="false" outlineLevel="0" collapsed="false">
      <c r="A15" s="22" t="n">
        <v>14</v>
      </c>
      <c r="B15" s="25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15" hidden="false" customHeight="false" outlineLevel="0" collapsed="false">
      <c r="A16" s="22" t="n">
        <v>15</v>
      </c>
      <c r="B16" s="25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15" hidden="false" customHeight="false" outlineLevel="0" collapsed="false">
      <c r="A17" s="22" t="n">
        <v>16</v>
      </c>
      <c r="B17" s="25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customFormat="false" ht="15" hidden="false" customHeight="false" outlineLevel="0" collapsed="false">
      <c r="A18" s="22" t="n">
        <v>17</v>
      </c>
      <c r="B18" s="25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15" hidden="false" customHeight="false" outlineLevel="0" collapsed="false">
      <c r="A19" s="22" t="n">
        <v>18</v>
      </c>
      <c r="B19" s="25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customFormat="false" ht="15" hidden="false" customHeight="false" outlineLevel="0" collapsed="false">
      <c r="A20" s="22" t="n">
        <v>19</v>
      </c>
      <c r="B20" s="25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customFormat="false" ht="15" hidden="false" customHeight="false" outlineLevel="0" collapsed="false">
      <c r="A21" s="22" t="n">
        <v>20</v>
      </c>
      <c r="B21" s="25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" hidden="false" customHeight="false" outlineLevel="0" collapsed="false">
      <c r="A22" s="22" t="n">
        <v>21</v>
      </c>
      <c r="B22" s="25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" hidden="false" customHeight="false" outlineLevel="0" collapsed="false">
      <c r="A23" s="22" t="n">
        <v>22</v>
      </c>
      <c r="B23" s="25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customFormat="false" ht="15" hidden="false" customHeight="false" outlineLevel="0" collapsed="false">
      <c r="A24" s="22" t="n">
        <v>23</v>
      </c>
      <c r="B24" s="25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" hidden="false" customHeight="false" outlineLevel="0" collapsed="false">
      <c r="A25" s="22" t="n">
        <v>24</v>
      </c>
      <c r="B25" s="25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" hidden="false" customHeight="false" outlineLevel="0" collapsed="false">
      <c r="A26" s="22" t="n">
        <v>25</v>
      </c>
      <c r="B26" s="25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customFormat="false" ht="15" hidden="false" customHeight="false" outlineLevel="0" collapsed="false">
      <c r="A27" s="22" t="n">
        <v>26</v>
      </c>
      <c r="B27" s="25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customFormat="false" ht="15" hidden="false" customHeight="false" outlineLevel="0" collapsed="false">
      <c r="A28" s="22" t="n">
        <v>27</v>
      </c>
      <c r="B28" s="25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customFormat="false" ht="15" hidden="false" customHeight="false" outlineLevel="0" collapsed="false">
      <c r="A29" s="22" t="n">
        <v>28</v>
      </c>
      <c r="B29" s="25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customFormat="false" ht="15" hidden="false" customHeight="false" outlineLevel="0" collapsed="false">
      <c r="A30" s="22" t="n">
        <v>29</v>
      </c>
      <c r="B30" s="25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customFormat="false" ht="15" hidden="false" customHeight="false" outlineLevel="0" collapsed="false">
      <c r="A31" s="22" t="n">
        <v>30</v>
      </c>
      <c r="B31" s="25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15" hidden="false" customHeight="false" outlineLevel="0" collapsed="false">
      <c r="A32" s="22" t="n">
        <v>31</v>
      </c>
      <c r="B32" s="25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customFormat="false" ht="15" hidden="false" customHeight="false" outlineLevel="0" collapsed="false">
      <c r="A33" s="22" t="n">
        <v>32</v>
      </c>
      <c r="B33" s="25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customFormat="false" ht="15" hidden="false" customHeight="false" outlineLevel="0" collapsed="false">
      <c r="A34" s="22" t="n">
        <v>33</v>
      </c>
      <c r="B34" s="25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15" hidden="false" customHeight="false" outlineLevel="0" collapsed="false">
      <c r="A35" s="22" t="n">
        <v>34</v>
      </c>
      <c r="B35" s="25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customFormat="false" ht="15" hidden="false" customHeight="false" outlineLevel="0" collapsed="false">
      <c r="A36" s="22" t="n">
        <v>35</v>
      </c>
      <c r="B36" s="25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customFormat="false" ht="15" hidden="false" customHeight="false" outlineLevel="0" collapsed="false">
      <c r="A37" s="22" t="n">
        <v>36</v>
      </c>
      <c r="B37" s="25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customFormat="false" ht="15" hidden="false" customHeight="false" outlineLevel="0" collapsed="false">
      <c r="A38" s="22" t="n">
        <v>37</v>
      </c>
      <c r="B38" s="25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customFormat="false" ht="15" hidden="false" customHeight="false" outlineLevel="0" collapsed="false">
      <c r="A39" s="22" t="n">
        <v>38</v>
      </c>
      <c r="B39" s="25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customFormat="false" ht="15" hidden="false" customHeight="false" outlineLevel="0" collapsed="false">
      <c r="A40" s="22" t="n">
        <v>39</v>
      </c>
      <c r="B40" s="25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15" hidden="false" customHeight="false" outlineLevel="0" collapsed="false">
      <c r="A41" s="22" t="n">
        <v>40</v>
      </c>
      <c r="B41" s="25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15" hidden="false" customHeight="false" outlineLevel="0" collapsed="false">
      <c r="A42" s="22" t="n">
        <v>41</v>
      </c>
      <c r="B42" s="25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15" hidden="false" customHeight="false" outlineLevel="0" collapsed="false">
      <c r="A43" s="22" t="n">
        <v>42</v>
      </c>
      <c r="B43" s="25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customFormat="false" ht="15" hidden="false" customHeight="false" outlineLevel="0" collapsed="false">
      <c r="A44" s="22" t="n">
        <v>43</v>
      </c>
      <c r="B44" s="25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customFormat="false" ht="15" hidden="false" customHeight="false" outlineLevel="0" collapsed="false">
      <c r="A45" s="22" t="n">
        <v>44</v>
      </c>
      <c r="B45" s="25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customFormat="false" ht="15" hidden="false" customHeight="false" outlineLevel="0" collapsed="false">
      <c r="A46" s="22" t="n">
        <v>45</v>
      </c>
      <c r="B46" s="25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customFormat="false" ht="15" hidden="false" customHeight="false" outlineLevel="0" collapsed="false">
      <c r="A47" s="22" t="n">
        <v>46</v>
      </c>
      <c r="B47" s="25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customFormat="false" ht="15" hidden="false" customHeight="false" outlineLevel="0" collapsed="false">
      <c r="A48" s="22" t="n">
        <v>47</v>
      </c>
      <c r="B48" s="25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customFormat="false" ht="15" hidden="false" customHeight="false" outlineLevel="0" collapsed="false">
      <c r="A49" s="22" t="n">
        <v>48</v>
      </c>
      <c r="B49" s="25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customFormat="false" ht="15" hidden="false" customHeight="false" outlineLevel="0" collapsed="false">
      <c r="A50" s="22" t="n">
        <v>49</v>
      </c>
      <c r="B50" s="25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15" hidden="false" customHeight="false" outlineLevel="0" collapsed="false">
      <c r="A51" s="22" t="n">
        <v>50</v>
      </c>
      <c r="B51" s="25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customFormat="false" ht="15" hidden="false" customHeight="false" outlineLevel="0" collapsed="false">
      <c r="A52" s="22" t="n">
        <v>51</v>
      </c>
      <c r="B52" s="25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customFormat="false" ht="15" hidden="false" customHeight="false" outlineLevel="0" collapsed="false">
      <c r="A53" s="22" t="n">
        <v>52</v>
      </c>
      <c r="B53" s="25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customFormat="false" ht="15" hidden="false" customHeight="false" outlineLevel="0" collapsed="false">
      <c r="A54" s="22" t="n">
        <v>53</v>
      </c>
      <c r="B54" s="25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customFormat="false" ht="15" hidden="false" customHeight="false" outlineLevel="0" collapsed="false">
      <c r="A55" s="22" t="n">
        <v>54</v>
      </c>
      <c r="B55" s="25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customFormat="false" ht="15" hidden="false" customHeight="false" outlineLevel="0" collapsed="false">
      <c r="A56" s="22" t="n">
        <v>55</v>
      </c>
      <c r="B56" s="25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customFormat="false" ht="15" hidden="false" customHeight="false" outlineLevel="0" collapsed="false">
      <c r="A57" s="22" t="n">
        <v>56</v>
      </c>
      <c r="B57" s="25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customFormat="false" ht="15" hidden="false" customHeight="false" outlineLevel="0" collapsed="false">
      <c r="A58" s="22" t="n">
        <v>57</v>
      </c>
      <c r="B58" s="25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customFormat="false" ht="15" hidden="false" customHeight="false" outlineLevel="0" collapsed="false">
      <c r="A59" s="22" t="n">
        <v>58</v>
      </c>
      <c r="B59" s="25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customFormat="false" ht="15" hidden="false" customHeight="false" outlineLevel="0" collapsed="false">
      <c r="A60" s="22" t="n">
        <v>59</v>
      </c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customFormat="false" ht="15" hidden="false" customHeight="false" outlineLevel="0" collapsed="false">
      <c r="A61" s="22" t="n">
        <v>60</v>
      </c>
      <c r="B61" s="25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customFormat="false" ht="15" hidden="false" customHeight="false" outlineLevel="0" collapsed="false">
      <c r="A62" s="22" t="n">
        <v>61</v>
      </c>
      <c r="B62" s="25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customFormat="false" ht="15" hidden="false" customHeight="false" outlineLevel="0" collapsed="false">
      <c r="A63" s="22" t="n">
        <v>62</v>
      </c>
      <c r="B63" s="25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customFormat="false" ht="15" hidden="false" customHeight="false" outlineLevel="0" collapsed="false">
      <c r="A64" s="22" t="n">
        <v>63</v>
      </c>
      <c r="B64" s="25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customFormat="false" ht="15" hidden="false" customHeight="false" outlineLevel="0" collapsed="false">
      <c r="A65" s="22" t="n">
        <v>64</v>
      </c>
      <c r="B65" s="25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customFormat="false" ht="15" hidden="false" customHeight="false" outlineLevel="0" collapsed="false">
      <c r="A66" s="22" t="n">
        <v>65</v>
      </c>
      <c r="B66" s="25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customFormat="false" ht="15" hidden="false" customHeight="false" outlineLevel="0" collapsed="false">
      <c r="A67" s="22" t="n">
        <v>66</v>
      </c>
      <c r="B67" s="25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customFormat="false" ht="15" hidden="false" customHeight="false" outlineLevel="0" collapsed="false">
      <c r="A68" s="22" t="n">
        <v>67</v>
      </c>
      <c r="B68" s="25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customFormat="false" ht="15" hidden="false" customHeight="false" outlineLevel="0" collapsed="false">
      <c r="A69" s="22" t="n">
        <v>68</v>
      </c>
      <c r="B69" s="25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customFormat="false" ht="15" hidden="false" customHeight="false" outlineLevel="0" collapsed="false">
      <c r="A70" s="22" t="n">
        <v>69</v>
      </c>
      <c r="B70" s="25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customFormat="false" ht="15" hidden="false" customHeight="false" outlineLevel="0" collapsed="false">
      <c r="A71" s="22" t="n">
        <v>70</v>
      </c>
      <c r="B71" s="25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customFormat="false" ht="15" hidden="false" customHeight="false" outlineLevel="0" collapsed="false">
      <c r="A72" s="22" t="n">
        <v>71</v>
      </c>
      <c r="B72" s="25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customFormat="false" ht="15" hidden="false" customHeight="false" outlineLevel="0" collapsed="false">
      <c r="A73" s="22" t="n">
        <v>72</v>
      </c>
      <c r="B73" s="25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customFormat="false" ht="15" hidden="false" customHeight="false" outlineLevel="0" collapsed="false">
      <c r="A74" s="22" t="n">
        <v>73</v>
      </c>
      <c r="B74" s="25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customFormat="false" ht="15" hidden="false" customHeight="false" outlineLevel="0" collapsed="false">
      <c r="A75" s="22" t="n">
        <v>74</v>
      </c>
      <c r="B75" s="25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customFormat="false" ht="15" hidden="false" customHeight="false" outlineLevel="0" collapsed="false">
      <c r="A76" s="22" t="n">
        <v>75</v>
      </c>
      <c r="B76" s="25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customFormat="false" ht="15" hidden="false" customHeight="false" outlineLevel="0" collapsed="false">
      <c r="A77" s="22" t="n">
        <v>76</v>
      </c>
      <c r="B77" s="25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customFormat="false" ht="15" hidden="false" customHeight="false" outlineLevel="0" collapsed="false">
      <c r="A78" s="22" t="n">
        <v>77</v>
      </c>
      <c r="B78" s="25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customFormat="false" ht="15" hidden="false" customHeight="false" outlineLevel="0" collapsed="false">
      <c r="A79" s="22" t="n">
        <v>78</v>
      </c>
      <c r="B79" s="25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customFormat="false" ht="15" hidden="false" customHeight="false" outlineLevel="0" collapsed="false">
      <c r="A80" s="22" t="n">
        <v>79</v>
      </c>
      <c r="B80" s="25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customFormat="false" ht="15" hidden="false" customHeight="false" outlineLevel="0" collapsed="false">
      <c r="A81" s="22" t="n">
        <v>80</v>
      </c>
      <c r="B81" s="25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customFormat="false" ht="15" hidden="false" customHeight="false" outlineLevel="0" collapsed="false">
      <c r="A82" s="22" t="n">
        <v>81</v>
      </c>
      <c r="B82" s="25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customFormat="false" ht="15" hidden="false" customHeight="false" outlineLevel="0" collapsed="false">
      <c r="A83" s="22" t="n">
        <v>82</v>
      </c>
      <c r="B83" s="25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customFormat="false" ht="15" hidden="false" customHeight="false" outlineLevel="0" collapsed="false">
      <c r="A84" s="22" t="n">
        <v>83</v>
      </c>
      <c r="B84" s="25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customFormat="false" ht="15" hidden="false" customHeight="false" outlineLevel="0" collapsed="false">
      <c r="A85" s="22" t="n">
        <v>84</v>
      </c>
      <c r="B85" s="25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customFormat="false" ht="15" hidden="false" customHeight="false" outlineLevel="0" collapsed="false">
      <c r="A86" s="22" t="n">
        <v>85</v>
      </c>
      <c r="B86" s="25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customFormat="false" ht="15" hidden="false" customHeight="false" outlineLevel="0" collapsed="false">
      <c r="A87" s="22" t="n">
        <v>86</v>
      </c>
      <c r="B87" s="25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customFormat="false" ht="15" hidden="false" customHeight="false" outlineLevel="0" collapsed="false">
      <c r="A88" s="22" t="n">
        <v>87</v>
      </c>
      <c r="B88" s="25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customFormat="false" ht="15" hidden="false" customHeight="false" outlineLevel="0" collapsed="false">
      <c r="A89" s="22" t="n">
        <v>88</v>
      </c>
      <c r="B89" s="25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customFormat="false" ht="15" hidden="false" customHeight="false" outlineLevel="0" collapsed="false">
      <c r="A90" s="22" t="n">
        <v>89</v>
      </c>
      <c r="B90" s="25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customFormat="false" ht="15" hidden="false" customHeight="false" outlineLevel="0" collapsed="false">
      <c r="A91" s="22" t="n">
        <v>90</v>
      </c>
      <c r="B91" s="25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customFormat="false" ht="15" hidden="false" customHeight="false" outlineLevel="0" collapsed="false">
      <c r="A92" s="22" t="n">
        <v>91</v>
      </c>
      <c r="B92" s="25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customFormat="false" ht="15" hidden="false" customHeight="false" outlineLevel="0" collapsed="false">
      <c r="A93" s="22" t="n">
        <v>92</v>
      </c>
      <c r="B93" s="25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customFormat="false" ht="15" hidden="false" customHeight="false" outlineLevel="0" collapsed="false">
      <c r="A94" s="22" t="n">
        <v>93</v>
      </c>
      <c r="B94" s="25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customFormat="false" ht="15" hidden="false" customHeight="false" outlineLevel="0" collapsed="false">
      <c r="A95" s="22" t="n">
        <v>94</v>
      </c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customFormat="false" ht="15" hidden="false" customHeight="false" outlineLevel="0" collapsed="false">
      <c r="A96" s="22" t="n">
        <v>95</v>
      </c>
      <c r="B96" s="25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customFormat="false" ht="15" hidden="false" customHeight="false" outlineLevel="0" collapsed="false">
      <c r="A97" s="22" t="n">
        <v>96</v>
      </c>
      <c r="B97" s="25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customFormat="false" ht="15" hidden="false" customHeight="false" outlineLevel="0" collapsed="false">
      <c r="A98" s="22" t="n">
        <v>97</v>
      </c>
      <c r="B98" s="25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customFormat="false" ht="15" hidden="false" customHeight="false" outlineLevel="0" collapsed="false">
      <c r="A99" s="22" t="n">
        <v>98</v>
      </c>
      <c r="B99" s="25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customFormat="false" ht="15" hidden="false" customHeight="false" outlineLevel="0" collapsed="false">
      <c r="A100" s="22" t="n">
        <v>99</v>
      </c>
      <c r="B100" s="25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customFormat="false" ht="15" hidden="false" customHeight="false" outlineLevel="0" collapsed="false">
      <c r="A101" s="22" t="n">
        <v>100</v>
      </c>
      <c r="B101" s="25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customFormat="false" ht="15" hidden="false" customHeight="false" outlineLevel="0" collapsed="false">
      <c r="A102" s="22" t="n">
        <v>101</v>
      </c>
      <c r="B102" s="25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customFormat="false" ht="15" hidden="false" customHeight="false" outlineLevel="0" collapsed="false">
      <c r="A103" s="22" t="n">
        <v>102</v>
      </c>
      <c r="B103" s="25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customFormat="false" ht="15" hidden="false" customHeight="false" outlineLevel="0" collapsed="false">
      <c r="A104" s="22" t="n">
        <v>103</v>
      </c>
      <c r="B104" s="25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customFormat="false" ht="15" hidden="false" customHeight="false" outlineLevel="0" collapsed="false">
      <c r="A105" s="22" t="n">
        <v>104</v>
      </c>
      <c r="B105" s="25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customFormat="false" ht="15" hidden="false" customHeight="false" outlineLevel="0" collapsed="false">
      <c r="A106" s="22" t="n">
        <v>105</v>
      </c>
      <c r="B106" s="25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customFormat="false" ht="15" hidden="false" customHeight="false" outlineLevel="0" collapsed="false">
      <c r="A107" s="22" t="n">
        <v>106</v>
      </c>
      <c r="B107" s="25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  <row r="108" customFormat="false" ht="15" hidden="false" customHeight="false" outlineLevel="0" collapsed="false">
      <c r="A108" s="22" t="n">
        <v>107</v>
      </c>
      <c r="B108" s="25"/>
      <c r="C108" s="22"/>
      <c r="D108" s="22"/>
      <c r="E108" s="22"/>
      <c r="F108" s="22"/>
      <c r="G108" s="22"/>
      <c r="H108" s="22"/>
      <c r="I108" s="22"/>
      <c r="J108" s="22"/>
      <c r="K108" s="22"/>
      <c r="L108" s="22"/>
    </row>
    <row r="109" customFormat="false" ht="15" hidden="false" customHeight="false" outlineLevel="0" collapsed="false">
      <c r="A109" s="22" t="n">
        <v>108</v>
      </c>
      <c r="B109" s="25"/>
      <c r="C109" s="22"/>
      <c r="D109" s="22"/>
      <c r="E109" s="22"/>
      <c r="F109" s="22"/>
      <c r="G109" s="22"/>
      <c r="H109" s="22"/>
      <c r="I109" s="22"/>
      <c r="J109" s="22"/>
      <c r="K109" s="22"/>
      <c r="L109" s="22"/>
    </row>
    <row r="110" customFormat="false" ht="15" hidden="false" customHeight="false" outlineLevel="0" collapsed="false">
      <c r="A110" s="22" t="n">
        <v>109</v>
      </c>
      <c r="B110" s="25"/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customFormat="false" ht="15" hidden="false" customHeight="false" outlineLevel="0" collapsed="false">
      <c r="A111" s="22" t="n">
        <v>110</v>
      </c>
      <c r="B111" s="25"/>
      <c r="C111" s="22"/>
      <c r="D111" s="22"/>
      <c r="E111" s="22"/>
      <c r="F111" s="22"/>
      <c r="G111" s="22"/>
      <c r="H111" s="22"/>
      <c r="I111" s="22"/>
      <c r="J111" s="22"/>
      <c r="K111" s="22"/>
      <c r="L111" s="22"/>
    </row>
    <row r="112" customFormat="false" ht="15" hidden="false" customHeight="false" outlineLevel="0" collapsed="false">
      <c r="A112" s="22" t="n">
        <v>111</v>
      </c>
      <c r="B112" s="25"/>
      <c r="C112" s="22"/>
      <c r="D112" s="22"/>
      <c r="E112" s="22"/>
      <c r="F112" s="22"/>
      <c r="G112" s="22"/>
      <c r="H112" s="22"/>
      <c r="I112" s="22"/>
      <c r="J112" s="22"/>
      <c r="K112" s="22"/>
      <c r="L112" s="22"/>
    </row>
    <row r="113" customFormat="false" ht="15" hidden="false" customHeight="false" outlineLevel="0" collapsed="false">
      <c r="A113" s="22" t="n">
        <v>112</v>
      </c>
      <c r="B113" s="25"/>
      <c r="C113" s="22"/>
      <c r="D113" s="22"/>
      <c r="E113" s="22"/>
      <c r="F113" s="22"/>
      <c r="G113" s="22"/>
      <c r="H113" s="22"/>
      <c r="I113" s="22"/>
      <c r="J113" s="22"/>
      <c r="K113" s="22"/>
      <c r="L113" s="22"/>
    </row>
    <row r="114" customFormat="false" ht="15" hidden="false" customHeight="false" outlineLevel="0" collapsed="false">
      <c r="A114" s="22" t="n">
        <v>113</v>
      </c>
      <c r="B114" s="25"/>
      <c r="C114" s="22"/>
      <c r="D114" s="22"/>
      <c r="E114" s="22"/>
      <c r="F114" s="22"/>
      <c r="G114" s="22"/>
      <c r="H114" s="22"/>
      <c r="I114" s="22"/>
      <c r="J114" s="22"/>
      <c r="K114" s="22"/>
      <c r="L114" s="22"/>
    </row>
    <row r="115" customFormat="false" ht="15" hidden="false" customHeight="false" outlineLevel="0" collapsed="false">
      <c r="A115" s="22" t="n">
        <v>114</v>
      </c>
      <c r="B115" s="25"/>
      <c r="C115" s="22"/>
      <c r="D115" s="22"/>
      <c r="E115" s="22"/>
      <c r="F115" s="22"/>
      <c r="G115" s="22"/>
      <c r="H115" s="22"/>
      <c r="I115" s="22"/>
      <c r="J115" s="22"/>
      <c r="K115" s="22"/>
      <c r="L115" s="22"/>
    </row>
    <row r="116" customFormat="false" ht="15" hidden="false" customHeight="false" outlineLevel="0" collapsed="false">
      <c r="A116" s="22" t="n">
        <v>115</v>
      </c>
      <c r="B116" s="25"/>
      <c r="C116" s="22"/>
      <c r="D116" s="22"/>
      <c r="E116" s="22"/>
      <c r="F116" s="22"/>
      <c r="G116" s="22"/>
      <c r="H116" s="22"/>
      <c r="I116" s="22"/>
      <c r="J116" s="22"/>
      <c r="K116" s="22"/>
      <c r="L116" s="22"/>
    </row>
    <row r="117" customFormat="false" ht="15" hidden="false" customHeight="false" outlineLevel="0" collapsed="false">
      <c r="A117" s="22" t="n">
        <v>116</v>
      </c>
      <c r="B117" s="25"/>
      <c r="C117" s="22"/>
      <c r="D117" s="22"/>
      <c r="E117" s="22"/>
      <c r="F117" s="22"/>
      <c r="G117" s="22"/>
      <c r="H117" s="22"/>
      <c r="I117" s="22"/>
      <c r="J117" s="22"/>
      <c r="K117" s="22"/>
      <c r="L117" s="22"/>
    </row>
    <row r="118" customFormat="false" ht="15" hidden="false" customHeight="false" outlineLevel="0" collapsed="false">
      <c r="A118" s="22" t="n">
        <v>117</v>
      </c>
      <c r="B118" s="25"/>
      <c r="C118" s="22"/>
      <c r="D118" s="22"/>
      <c r="E118" s="22"/>
      <c r="F118" s="22"/>
      <c r="G118" s="22"/>
      <c r="H118" s="22"/>
      <c r="I118" s="22"/>
      <c r="J118" s="22"/>
      <c r="K118" s="22"/>
      <c r="L118" s="22"/>
    </row>
    <row r="119" customFormat="false" ht="15" hidden="false" customHeight="false" outlineLevel="0" collapsed="false">
      <c r="A119" s="22" t="n">
        <v>118</v>
      </c>
      <c r="B119" s="25"/>
      <c r="C119" s="22"/>
      <c r="D119" s="22"/>
      <c r="E119" s="22"/>
      <c r="F119" s="22"/>
      <c r="G119" s="22"/>
      <c r="H119" s="22"/>
      <c r="I119" s="22"/>
      <c r="J119" s="22"/>
      <c r="K119" s="22"/>
      <c r="L119" s="22"/>
    </row>
    <row r="120" customFormat="false" ht="15" hidden="false" customHeight="false" outlineLevel="0" collapsed="false">
      <c r="A120" s="22" t="n">
        <v>119</v>
      </c>
      <c r="B120" s="25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customFormat="false" ht="15" hidden="false" customHeight="false" outlineLevel="0" collapsed="false">
      <c r="A121" s="22" t="n">
        <v>120</v>
      </c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customFormat="false" ht="15" hidden="false" customHeight="false" outlineLevel="0" collapsed="false">
      <c r="A122" s="22" t="n">
        <v>121</v>
      </c>
      <c r="B122" s="25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3" customFormat="false" ht="15" hidden="false" customHeight="false" outlineLevel="0" collapsed="false">
      <c r="A123" s="22" t="n">
        <v>122</v>
      </c>
      <c r="B123" s="25"/>
      <c r="C123" s="22"/>
      <c r="D123" s="22"/>
      <c r="E123" s="22"/>
      <c r="F123" s="22"/>
      <c r="G123" s="22"/>
      <c r="H123" s="22"/>
      <c r="I123" s="22"/>
      <c r="J123" s="22"/>
      <c r="K123" s="22"/>
      <c r="L123" s="22"/>
    </row>
    <row r="124" customFormat="false" ht="15" hidden="false" customHeight="false" outlineLevel="0" collapsed="false">
      <c r="A124" s="22" t="n">
        <v>123</v>
      </c>
      <c r="B124" s="25"/>
      <c r="C124" s="22"/>
      <c r="D124" s="22"/>
      <c r="E124" s="22"/>
      <c r="F124" s="22"/>
      <c r="G124" s="22"/>
      <c r="H124" s="22"/>
      <c r="I124" s="22"/>
      <c r="J124" s="22"/>
      <c r="K124" s="22"/>
      <c r="L124" s="22"/>
    </row>
    <row r="125" customFormat="false" ht="15" hidden="false" customHeight="false" outlineLevel="0" collapsed="false">
      <c r="A125" s="22" t="n">
        <v>124</v>
      </c>
      <c r="B125" s="25"/>
      <c r="C125" s="22"/>
      <c r="D125" s="22"/>
      <c r="E125" s="22"/>
      <c r="F125" s="22"/>
      <c r="G125" s="22"/>
      <c r="H125" s="22"/>
      <c r="I125" s="22"/>
      <c r="J125" s="22"/>
      <c r="K125" s="22"/>
      <c r="L125" s="22"/>
    </row>
    <row r="126" customFormat="false" ht="15" hidden="false" customHeight="false" outlineLevel="0" collapsed="false">
      <c r="A126" s="22" t="n">
        <v>125</v>
      </c>
      <c r="B126" s="25"/>
      <c r="C126" s="22"/>
      <c r="D126" s="22"/>
      <c r="E126" s="22"/>
      <c r="F126" s="22"/>
      <c r="G126" s="22"/>
      <c r="H126" s="22"/>
      <c r="I126" s="22"/>
      <c r="J126" s="22"/>
      <c r="K126" s="22"/>
      <c r="L126" s="22"/>
    </row>
    <row r="127" customFormat="false" ht="15" hidden="false" customHeight="false" outlineLevel="0" collapsed="false">
      <c r="A127" s="22" t="n">
        <v>126</v>
      </c>
      <c r="B127" s="25"/>
      <c r="C127" s="22"/>
      <c r="D127" s="22"/>
      <c r="E127" s="22"/>
      <c r="F127" s="22"/>
      <c r="G127" s="22"/>
      <c r="H127" s="22"/>
      <c r="I127" s="22"/>
      <c r="J127" s="22"/>
      <c r="K127" s="22"/>
      <c r="L127" s="22"/>
    </row>
    <row r="128" customFormat="false" ht="15" hidden="false" customHeight="false" outlineLevel="0" collapsed="false">
      <c r="A128" s="22" t="n">
        <v>127</v>
      </c>
      <c r="B128" s="25"/>
      <c r="C128" s="22"/>
      <c r="D128" s="22"/>
      <c r="E128" s="22"/>
      <c r="F128" s="22"/>
      <c r="G128" s="22"/>
      <c r="H128" s="22"/>
      <c r="I128" s="22"/>
      <c r="J128" s="22"/>
      <c r="K128" s="22"/>
      <c r="L128" s="22"/>
    </row>
    <row r="129" customFormat="false" ht="15" hidden="false" customHeight="false" outlineLevel="0" collapsed="false">
      <c r="A129" s="22" t="n">
        <v>128</v>
      </c>
      <c r="B129" s="25"/>
      <c r="C129" s="22"/>
      <c r="D129" s="22"/>
      <c r="E129" s="22"/>
      <c r="F129" s="22"/>
      <c r="G129" s="22"/>
      <c r="H129" s="22"/>
      <c r="I129" s="22"/>
      <c r="J129" s="22"/>
      <c r="K129" s="22"/>
      <c r="L129" s="22"/>
    </row>
    <row r="130" customFormat="false" ht="15" hidden="false" customHeight="false" outlineLevel="0" collapsed="false">
      <c r="A130" s="22" t="n">
        <v>129</v>
      </c>
      <c r="B130" s="25"/>
      <c r="C130" s="22"/>
      <c r="D130" s="22"/>
      <c r="E130" s="22"/>
      <c r="F130" s="22"/>
      <c r="G130" s="22"/>
      <c r="H130" s="22"/>
      <c r="I130" s="22"/>
      <c r="J130" s="22"/>
      <c r="K130" s="22"/>
      <c r="L130" s="22"/>
    </row>
    <row r="131" customFormat="false" ht="15" hidden="false" customHeight="false" outlineLevel="0" collapsed="false">
      <c r="A131" s="22" t="n">
        <v>130</v>
      </c>
      <c r="B131" s="25"/>
      <c r="C131" s="22"/>
      <c r="D131" s="22"/>
      <c r="E131" s="22"/>
      <c r="F131" s="22"/>
      <c r="G131" s="22"/>
      <c r="H131" s="22"/>
      <c r="I131" s="22"/>
      <c r="J131" s="22"/>
      <c r="K131" s="22"/>
      <c r="L131" s="22"/>
    </row>
    <row r="132" customFormat="false" ht="15" hidden="false" customHeight="false" outlineLevel="0" collapsed="false">
      <c r="A132" s="22" t="n">
        <v>131</v>
      </c>
      <c r="B132" s="25"/>
      <c r="C132" s="22"/>
      <c r="D132" s="22"/>
      <c r="E132" s="22"/>
      <c r="F132" s="22"/>
      <c r="G132" s="22"/>
      <c r="H132" s="22"/>
      <c r="I132" s="22"/>
      <c r="J132" s="22"/>
      <c r="K132" s="22"/>
      <c r="L132" s="22"/>
    </row>
    <row r="133" customFormat="false" ht="15" hidden="false" customHeight="false" outlineLevel="0" collapsed="false">
      <c r="A133" s="22" t="n">
        <v>132</v>
      </c>
      <c r="B133" s="25"/>
      <c r="C133" s="22"/>
      <c r="D133" s="22"/>
      <c r="E133" s="22"/>
      <c r="F133" s="22"/>
      <c r="G133" s="22"/>
      <c r="H133" s="22"/>
      <c r="I133" s="22"/>
      <c r="J133" s="22"/>
      <c r="K133" s="22"/>
      <c r="L133" s="22"/>
    </row>
    <row r="134" customFormat="false" ht="15" hidden="false" customHeight="false" outlineLevel="0" collapsed="false">
      <c r="A134" s="22" t="n">
        <v>133</v>
      </c>
      <c r="B134" s="25"/>
      <c r="C134" s="22"/>
      <c r="D134" s="22"/>
      <c r="E134" s="22"/>
      <c r="F134" s="22"/>
      <c r="G134" s="22"/>
      <c r="H134" s="22"/>
      <c r="I134" s="22"/>
      <c r="J134" s="22"/>
      <c r="K134" s="22"/>
      <c r="L134" s="22"/>
    </row>
    <row r="135" customFormat="false" ht="15" hidden="false" customHeight="false" outlineLevel="0" collapsed="false">
      <c r="A135" s="22" t="n">
        <v>134</v>
      </c>
      <c r="B135" s="25"/>
      <c r="C135" s="22"/>
      <c r="D135" s="22"/>
      <c r="E135" s="22"/>
      <c r="F135" s="22"/>
      <c r="G135" s="22"/>
      <c r="H135" s="22"/>
      <c r="I135" s="22"/>
      <c r="J135" s="22"/>
      <c r="K135" s="22"/>
      <c r="L135" s="22"/>
    </row>
    <row r="136" customFormat="false" ht="15" hidden="false" customHeight="false" outlineLevel="0" collapsed="false">
      <c r="A136" s="22" t="n">
        <v>135</v>
      </c>
      <c r="B136" s="25"/>
      <c r="C136" s="22"/>
      <c r="D136" s="22"/>
      <c r="E136" s="22"/>
      <c r="F136" s="22"/>
      <c r="G136" s="22"/>
      <c r="H136" s="22"/>
      <c r="I136" s="22"/>
      <c r="J136" s="22"/>
      <c r="K136" s="22"/>
      <c r="L136" s="22"/>
    </row>
    <row r="137" customFormat="false" ht="15" hidden="false" customHeight="false" outlineLevel="0" collapsed="false">
      <c r="A137" s="22" t="n">
        <v>136</v>
      </c>
      <c r="B137" s="25"/>
      <c r="C137" s="22"/>
      <c r="D137" s="22"/>
      <c r="E137" s="22"/>
      <c r="F137" s="22"/>
      <c r="G137" s="22"/>
      <c r="H137" s="22"/>
      <c r="I137" s="22"/>
      <c r="J137" s="22"/>
      <c r="K137" s="22"/>
      <c r="L137" s="22"/>
    </row>
    <row r="138" customFormat="false" ht="15" hidden="false" customHeight="false" outlineLevel="0" collapsed="false">
      <c r="A138" s="22" t="n">
        <v>137</v>
      </c>
      <c r="B138" s="25"/>
      <c r="C138" s="22"/>
      <c r="D138" s="22"/>
      <c r="E138" s="22"/>
      <c r="F138" s="22"/>
      <c r="G138" s="22"/>
      <c r="H138" s="22"/>
      <c r="I138" s="22"/>
      <c r="J138" s="22"/>
      <c r="K138" s="22"/>
      <c r="L138" s="22"/>
    </row>
    <row r="139" customFormat="false" ht="15" hidden="false" customHeight="false" outlineLevel="0" collapsed="false">
      <c r="A139" s="22" t="n">
        <v>138</v>
      </c>
      <c r="B139" s="25"/>
      <c r="C139" s="22"/>
      <c r="D139" s="22"/>
      <c r="E139" s="22"/>
      <c r="F139" s="22"/>
      <c r="G139" s="22"/>
      <c r="H139" s="22"/>
      <c r="I139" s="22"/>
      <c r="J139" s="22"/>
      <c r="K139" s="22"/>
      <c r="L139" s="22"/>
    </row>
    <row r="140" customFormat="false" ht="15" hidden="false" customHeight="false" outlineLevel="0" collapsed="false">
      <c r="A140" s="22" t="n">
        <v>139</v>
      </c>
      <c r="B140" s="25"/>
      <c r="C140" s="22"/>
      <c r="D140" s="22"/>
      <c r="E140" s="22"/>
      <c r="F140" s="22"/>
      <c r="G140" s="22"/>
      <c r="H140" s="22"/>
      <c r="I140" s="22"/>
      <c r="J140" s="22"/>
      <c r="K140" s="22"/>
      <c r="L140" s="22"/>
    </row>
    <row r="141" customFormat="false" ht="15" hidden="false" customHeight="false" outlineLevel="0" collapsed="false">
      <c r="A141" s="22" t="n">
        <v>140</v>
      </c>
      <c r="B141" s="25"/>
      <c r="C141" s="22"/>
      <c r="D141" s="22"/>
      <c r="E141" s="22"/>
      <c r="F141" s="22"/>
      <c r="G141" s="22"/>
      <c r="H141" s="22"/>
      <c r="I141" s="22"/>
      <c r="J141" s="22"/>
      <c r="K141" s="22"/>
      <c r="L141" s="22"/>
    </row>
    <row r="142" customFormat="false" ht="15" hidden="false" customHeight="false" outlineLevel="0" collapsed="false">
      <c r="A142" s="22" t="n">
        <v>141</v>
      </c>
      <c r="B142" s="25"/>
      <c r="C142" s="22"/>
      <c r="D142" s="22"/>
      <c r="E142" s="22"/>
      <c r="F142" s="22"/>
      <c r="G142" s="22"/>
      <c r="H142" s="22"/>
      <c r="I142" s="22"/>
      <c r="J142" s="22"/>
      <c r="K142" s="22"/>
      <c r="L142" s="22"/>
    </row>
    <row r="143" customFormat="false" ht="15" hidden="false" customHeight="false" outlineLevel="0" collapsed="false">
      <c r="A143" s="22" t="n">
        <v>142</v>
      </c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2"/>
    </row>
    <row r="144" customFormat="false" ht="15" hidden="false" customHeight="false" outlineLevel="0" collapsed="false">
      <c r="A144" s="22" t="n">
        <v>143</v>
      </c>
      <c r="B144" s="25"/>
      <c r="C144" s="22"/>
      <c r="D144" s="22"/>
      <c r="E144" s="22"/>
      <c r="F144" s="22"/>
      <c r="G144" s="22"/>
      <c r="H144" s="22"/>
      <c r="I144" s="22"/>
      <c r="J144" s="22"/>
      <c r="K144" s="22"/>
      <c r="L144" s="22"/>
    </row>
    <row r="145" customFormat="false" ht="15" hidden="false" customHeight="false" outlineLevel="0" collapsed="false">
      <c r="A145" s="22" t="n">
        <v>144</v>
      </c>
      <c r="B145" s="25"/>
      <c r="C145" s="22"/>
      <c r="D145" s="22"/>
      <c r="E145" s="22"/>
      <c r="F145" s="22"/>
      <c r="G145" s="22"/>
      <c r="H145" s="22"/>
      <c r="I145" s="22"/>
      <c r="J145" s="22"/>
      <c r="K145" s="22"/>
      <c r="L145" s="22"/>
    </row>
    <row r="146" customFormat="false" ht="15" hidden="false" customHeight="false" outlineLevel="0" collapsed="false">
      <c r="A146" s="22" t="n">
        <v>145</v>
      </c>
      <c r="B146" s="25"/>
      <c r="C146" s="22"/>
      <c r="D146" s="22"/>
      <c r="E146" s="22"/>
      <c r="F146" s="22"/>
      <c r="G146" s="22"/>
      <c r="H146" s="22"/>
      <c r="I146" s="22"/>
      <c r="J146" s="22"/>
      <c r="K146" s="22"/>
      <c r="L146" s="22"/>
    </row>
    <row r="147" customFormat="false" ht="15" hidden="false" customHeight="false" outlineLevel="0" collapsed="false">
      <c r="A147" s="22" t="n">
        <v>146</v>
      </c>
      <c r="B147" s="25"/>
      <c r="C147" s="22"/>
      <c r="D147" s="22"/>
      <c r="E147" s="22"/>
      <c r="F147" s="22"/>
      <c r="G147" s="22"/>
      <c r="H147" s="22"/>
      <c r="I147" s="22"/>
      <c r="J147" s="22"/>
      <c r="K147" s="22"/>
      <c r="L147" s="22"/>
    </row>
    <row r="148" customFormat="false" ht="15" hidden="false" customHeight="false" outlineLevel="0" collapsed="false">
      <c r="A148" s="22" t="n">
        <v>147</v>
      </c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customFormat="false" ht="15" hidden="false" customHeight="false" outlineLevel="0" collapsed="false">
      <c r="A149" s="22" t="n">
        <v>148</v>
      </c>
      <c r="B149" s="25"/>
      <c r="C149" s="22"/>
      <c r="D149" s="22"/>
      <c r="E149" s="22"/>
      <c r="F149" s="22"/>
      <c r="G149" s="22"/>
      <c r="H149" s="22"/>
      <c r="I149" s="22"/>
      <c r="J149" s="22"/>
      <c r="K149" s="22"/>
      <c r="L149" s="22"/>
    </row>
    <row r="150" customFormat="false" ht="15" hidden="false" customHeight="false" outlineLevel="0" collapsed="false">
      <c r="A150" s="22" t="n">
        <v>149</v>
      </c>
      <c r="B150" s="25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customFormat="false" ht="15" hidden="false" customHeight="false" outlineLevel="0" collapsed="false">
      <c r="A151" s="22" t="n">
        <v>150</v>
      </c>
      <c r="B151" s="25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  <row r="152" customFormat="false" ht="15" hidden="false" customHeight="false" outlineLevel="0" collapsed="false">
      <c r="A152" s="22" t="n">
        <v>151</v>
      </c>
      <c r="B152" s="25"/>
      <c r="C152" s="22"/>
      <c r="D152" s="22"/>
      <c r="E152" s="22"/>
      <c r="F152" s="22"/>
      <c r="G152" s="22"/>
      <c r="H152" s="22"/>
      <c r="I152" s="22"/>
      <c r="J152" s="22"/>
      <c r="K152" s="22"/>
      <c r="L152" s="22"/>
    </row>
    <row r="153" customFormat="false" ht="15" hidden="false" customHeight="false" outlineLevel="0" collapsed="false">
      <c r="A153" s="22" t="n">
        <v>152</v>
      </c>
      <c r="B153" s="25"/>
      <c r="C153" s="22"/>
      <c r="D153" s="22"/>
      <c r="E153" s="22"/>
      <c r="F153" s="22"/>
      <c r="G153" s="22"/>
      <c r="H153" s="22"/>
      <c r="I153" s="22"/>
      <c r="J153" s="22"/>
      <c r="K153" s="22"/>
      <c r="L153" s="22"/>
    </row>
    <row r="154" customFormat="false" ht="15" hidden="false" customHeight="false" outlineLevel="0" collapsed="false">
      <c r="A154" s="22" t="n">
        <v>153</v>
      </c>
      <c r="B154" s="25"/>
      <c r="C154" s="22"/>
      <c r="D154" s="22"/>
      <c r="E154" s="22"/>
      <c r="F154" s="22"/>
      <c r="G154" s="22"/>
      <c r="H154" s="22"/>
      <c r="I154" s="22"/>
      <c r="J154" s="22"/>
      <c r="K154" s="22"/>
      <c r="L154" s="22"/>
    </row>
    <row r="155" customFormat="false" ht="15" hidden="false" customHeight="false" outlineLevel="0" collapsed="false">
      <c r="A155" s="22" t="n">
        <v>154</v>
      </c>
      <c r="B155" s="25"/>
      <c r="C155" s="22"/>
      <c r="D155" s="22"/>
      <c r="E155" s="22"/>
      <c r="F155" s="22"/>
      <c r="G155" s="22"/>
      <c r="H155" s="22"/>
      <c r="I155" s="22"/>
      <c r="J155" s="22"/>
      <c r="K155" s="22"/>
      <c r="L155" s="22"/>
    </row>
    <row r="156" customFormat="false" ht="15" hidden="false" customHeight="false" outlineLevel="0" collapsed="false">
      <c r="A156" s="22" t="n">
        <v>155</v>
      </c>
      <c r="B156" s="25"/>
      <c r="C156" s="22"/>
      <c r="D156" s="22"/>
      <c r="E156" s="22"/>
      <c r="F156" s="22"/>
      <c r="G156" s="22"/>
      <c r="H156" s="22"/>
      <c r="I156" s="22"/>
      <c r="J156" s="22"/>
      <c r="K156" s="22"/>
      <c r="L156" s="22"/>
    </row>
    <row r="157" customFormat="false" ht="15" hidden="false" customHeight="false" outlineLevel="0" collapsed="false">
      <c r="A157" s="22" t="n">
        <v>156</v>
      </c>
      <c r="B157" s="25"/>
      <c r="C157" s="22"/>
      <c r="D157" s="22"/>
      <c r="E157" s="22"/>
      <c r="F157" s="22"/>
      <c r="G157" s="22"/>
      <c r="H157" s="22"/>
      <c r="I157" s="22"/>
      <c r="J157" s="22"/>
      <c r="K157" s="22"/>
      <c r="L157" s="22"/>
    </row>
    <row r="158" customFormat="false" ht="15" hidden="false" customHeight="false" outlineLevel="0" collapsed="false">
      <c r="A158" s="22" t="n">
        <v>157</v>
      </c>
      <c r="B158" s="25"/>
      <c r="C158" s="22"/>
      <c r="D158" s="22"/>
      <c r="E158" s="22"/>
      <c r="F158" s="22"/>
      <c r="G158" s="22"/>
      <c r="H158" s="22"/>
      <c r="I158" s="22"/>
      <c r="J158" s="22"/>
      <c r="K158" s="22"/>
      <c r="L158" s="22"/>
    </row>
    <row r="159" customFormat="false" ht="15" hidden="false" customHeight="false" outlineLevel="0" collapsed="false">
      <c r="A159" s="22" t="n">
        <v>158</v>
      </c>
      <c r="B159" s="25"/>
      <c r="C159" s="22"/>
      <c r="D159" s="22"/>
      <c r="E159" s="22"/>
      <c r="F159" s="22"/>
      <c r="G159" s="22"/>
      <c r="H159" s="22"/>
      <c r="I159" s="22"/>
      <c r="J159" s="22"/>
      <c r="K159" s="22"/>
      <c r="L159" s="22"/>
    </row>
    <row r="160" customFormat="false" ht="15" hidden="false" customHeight="false" outlineLevel="0" collapsed="false">
      <c r="A160" s="22" t="n">
        <v>159</v>
      </c>
      <c r="B160" s="25"/>
      <c r="C160" s="22"/>
      <c r="D160" s="22"/>
      <c r="E160" s="22"/>
      <c r="F160" s="22"/>
      <c r="G160" s="22"/>
      <c r="H160" s="22"/>
      <c r="I160" s="22"/>
      <c r="J160" s="22"/>
      <c r="K160" s="22"/>
      <c r="L160" s="22"/>
    </row>
    <row r="161" customFormat="false" ht="15" hidden="false" customHeight="false" outlineLevel="0" collapsed="false">
      <c r="A161" s="22" t="n">
        <v>160</v>
      </c>
      <c r="B161" s="25"/>
      <c r="C161" s="22"/>
      <c r="D161" s="22"/>
      <c r="E161" s="22"/>
      <c r="F161" s="22"/>
      <c r="G161" s="22"/>
      <c r="H161" s="22"/>
      <c r="I161" s="22"/>
      <c r="J161" s="22"/>
      <c r="K161" s="22"/>
      <c r="L161" s="22"/>
    </row>
    <row r="162" customFormat="false" ht="15" hidden="false" customHeight="false" outlineLevel="0" collapsed="false">
      <c r="A162" s="22" t="n">
        <v>161</v>
      </c>
      <c r="B162" s="25"/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customFormat="false" ht="15" hidden="false" customHeight="false" outlineLevel="0" collapsed="false">
      <c r="A163" s="22" t="n">
        <v>162</v>
      </c>
      <c r="B163" s="25"/>
      <c r="C163" s="22"/>
      <c r="D163" s="22"/>
      <c r="E163" s="22"/>
      <c r="F163" s="22"/>
      <c r="G163" s="22"/>
      <c r="H163" s="22"/>
      <c r="I163" s="22"/>
      <c r="J163" s="22"/>
      <c r="K163" s="22"/>
      <c r="L163" s="22"/>
    </row>
    <row r="164" customFormat="false" ht="15" hidden="false" customHeight="false" outlineLevel="0" collapsed="false">
      <c r="A164" s="22" t="n">
        <v>163</v>
      </c>
      <c r="B164" s="25"/>
      <c r="C164" s="22"/>
      <c r="D164" s="22"/>
      <c r="E164" s="22"/>
      <c r="F164" s="22"/>
      <c r="G164" s="22"/>
      <c r="H164" s="22"/>
      <c r="I164" s="22"/>
      <c r="J164" s="22"/>
      <c r="K164" s="22"/>
      <c r="L164" s="22"/>
    </row>
    <row r="165" customFormat="false" ht="15" hidden="false" customHeight="false" outlineLevel="0" collapsed="false">
      <c r="A165" s="22" t="n">
        <v>164</v>
      </c>
      <c r="B165" s="25"/>
      <c r="C165" s="22"/>
      <c r="D165" s="22"/>
      <c r="E165" s="22"/>
      <c r="F165" s="22"/>
      <c r="G165" s="22"/>
      <c r="H165" s="22"/>
      <c r="I165" s="22"/>
      <c r="J165" s="22"/>
      <c r="K165" s="22"/>
      <c r="L165" s="22"/>
    </row>
    <row r="166" customFormat="false" ht="15" hidden="false" customHeight="false" outlineLevel="0" collapsed="false">
      <c r="A166" s="22" t="n">
        <v>165</v>
      </c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2"/>
    </row>
    <row r="167" customFormat="false" ht="15" hidden="false" customHeight="false" outlineLevel="0" collapsed="false">
      <c r="A167" s="22" t="n">
        <v>166</v>
      </c>
      <c r="B167" s="25"/>
      <c r="C167" s="22"/>
      <c r="D167" s="22"/>
      <c r="E167" s="22"/>
      <c r="F167" s="22"/>
      <c r="G167" s="22"/>
      <c r="H167" s="22"/>
      <c r="I167" s="22"/>
      <c r="J167" s="22"/>
      <c r="K167" s="22"/>
      <c r="L167" s="22"/>
    </row>
    <row r="168" customFormat="false" ht="15" hidden="false" customHeight="false" outlineLevel="0" collapsed="false">
      <c r="A168" s="22" t="n">
        <v>167</v>
      </c>
      <c r="B168" s="25"/>
      <c r="C168" s="22"/>
      <c r="D168" s="22"/>
      <c r="E168" s="22"/>
      <c r="F168" s="22"/>
      <c r="G168" s="22"/>
      <c r="H168" s="22"/>
      <c r="I168" s="22"/>
      <c r="J168" s="22"/>
      <c r="K168" s="22"/>
      <c r="L168" s="22"/>
    </row>
    <row r="169" customFormat="false" ht="15" hidden="false" customHeight="false" outlineLevel="0" collapsed="false">
      <c r="A169" s="22" t="n">
        <v>168</v>
      </c>
      <c r="B169" s="25"/>
      <c r="C169" s="22"/>
      <c r="D169" s="22"/>
      <c r="E169" s="22"/>
      <c r="F169" s="22"/>
      <c r="G169" s="22"/>
      <c r="H169" s="22"/>
      <c r="I169" s="22"/>
      <c r="J169" s="22"/>
      <c r="K169" s="22"/>
      <c r="L169" s="22"/>
    </row>
    <row r="170" customFormat="false" ht="15" hidden="false" customHeight="false" outlineLevel="0" collapsed="false">
      <c r="A170" s="22" t="n">
        <v>169</v>
      </c>
      <c r="B170" s="25"/>
      <c r="C170" s="22"/>
      <c r="D170" s="22"/>
      <c r="E170" s="22"/>
      <c r="F170" s="22"/>
      <c r="G170" s="22"/>
      <c r="H170" s="22"/>
      <c r="I170" s="22"/>
      <c r="J170" s="22"/>
      <c r="K170" s="22"/>
      <c r="L170" s="22"/>
    </row>
    <row r="171" customFormat="false" ht="15" hidden="false" customHeight="false" outlineLevel="0" collapsed="false">
      <c r="A171" s="22" t="n">
        <v>170</v>
      </c>
      <c r="B171" s="25"/>
      <c r="C171" s="22"/>
      <c r="D171" s="22"/>
      <c r="E171" s="22"/>
      <c r="F171" s="22"/>
      <c r="G171" s="22"/>
      <c r="H171" s="22"/>
      <c r="I171" s="22"/>
      <c r="J171" s="22"/>
      <c r="K171" s="22"/>
      <c r="L171" s="22"/>
    </row>
    <row r="172" customFormat="false" ht="15" hidden="false" customHeight="false" outlineLevel="0" collapsed="false">
      <c r="A172" s="22" t="n">
        <v>171</v>
      </c>
      <c r="B172" s="25"/>
      <c r="C172" s="22"/>
      <c r="D172" s="22"/>
      <c r="E172" s="22"/>
      <c r="F172" s="22"/>
      <c r="G172" s="22"/>
      <c r="H172" s="22"/>
      <c r="I172" s="22"/>
      <c r="J172" s="22"/>
      <c r="K172" s="22"/>
      <c r="L172" s="22"/>
    </row>
    <row r="173" customFormat="false" ht="15" hidden="false" customHeight="false" outlineLevel="0" collapsed="false">
      <c r="A173" s="22" t="n">
        <v>172</v>
      </c>
      <c r="B173" s="25"/>
      <c r="C173" s="22"/>
      <c r="D173" s="22"/>
      <c r="E173" s="22"/>
      <c r="F173" s="22"/>
      <c r="G173" s="22"/>
      <c r="H173" s="22"/>
      <c r="I173" s="22"/>
      <c r="J173" s="22"/>
      <c r="K173" s="22"/>
      <c r="L173" s="22"/>
    </row>
    <row r="174" customFormat="false" ht="15" hidden="false" customHeight="false" outlineLevel="0" collapsed="false">
      <c r="A174" s="22" t="n">
        <v>173</v>
      </c>
      <c r="B174" s="25"/>
      <c r="C174" s="22"/>
      <c r="D174" s="22"/>
      <c r="E174" s="22"/>
      <c r="F174" s="22"/>
      <c r="G174" s="22"/>
      <c r="H174" s="22"/>
      <c r="I174" s="22"/>
      <c r="J174" s="22"/>
      <c r="K174" s="22"/>
      <c r="L174" s="22"/>
    </row>
    <row r="175" customFormat="false" ht="15" hidden="false" customHeight="false" outlineLevel="0" collapsed="false">
      <c r="A175" s="22" t="n">
        <v>174</v>
      </c>
      <c r="B175" s="25"/>
      <c r="C175" s="22"/>
      <c r="D175" s="22"/>
      <c r="E175" s="22"/>
      <c r="F175" s="22"/>
      <c r="G175" s="22"/>
      <c r="H175" s="22"/>
      <c r="I175" s="22"/>
      <c r="J175" s="22"/>
      <c r="K175" s="22"/>
      <c r="L175" s="22"/>
    </row>
    <row r="176" customFormat="false" ht="15" hidden="false" customHeight="false" outlineLevel="0" collapsed="false">
      <c r="A176" s="22" t="n">
        <v>175</v>
      </c>
      <c r="B176" s="25"/>
      <c r="C176" s="22"/>
      <c r="D176" s="22"/>
      <c r="E176" s="22"/>
      <c r="F176" s="22"/>
      <c r="G176" s="22"/>
      <c r="H176" s="22"/>
      <c r="I176" s="22"/>
      <c r="J176" s="22"/>
      <c r="K176" s="22"/>
      <c r="L176" s="22"/>
    </row>
    <row r="177" customFormat="false" ht="15" hidden="false" customHeight="false" outlineLevel="0" collapsed="false">
      <c r="A177" s="22" t="n">
        <v>176</v>
      </c>
      <c r="B177" s="25"/>
      <c r="C177" s="22"/>
      <c r="D177" s="22"/>
      <c r="E177" s="22"/>
      <c r="F177" s="22"/>
      <c r="G177" s="22"/>
      <c r="H177" s="22"/>
      <c r="I177" s="22"/>
      <c r="J177" s="22"/>
      <c r="K177" s="22"/>
      <c r="L177" s="22"/>
    </row>
    <row r="178" customFormat="false" ht="15" hidden="false" customHeight="false" outlineLevel="0" collapsed="false">
      <c r="A178" s="22" t="n">
        <v>177</v>
      </c>
      <c r="B178" s="25"/>
      <c r="C178" s="22"/>
      <c r="D178" s="22"/>
      <c r="E178" s="22"/>
      <c r="F178" s="22"/>
      <c r="G178" s="22"/>
      <c r="H178" s="22"/>
      <c r="I178" s="22"/>
      <c r="J178" s="22"/>
      <c r="K178" s="22"/>
      <c r="L178" s="22"/>
    </row>
    <row r="179" customFormat="false" ht="15" hidden="false" customHeight="false" outlineLevel="0" collapsed="false">
      <c r="A179" s="22" t="n">
        <v>178</v>
      </c>
      <c r="B179" s="25"/>
      <c r="C179" s="22"/>
      <c r="D179" s="22"/>
      <c r="E179" s="22"/>
      <c r="F179" s="22"/>
      <c r="G179" s="22"/>
      <c r="H179" s="22"/>
      <c r="I179" s="22"/>
      <c r="J179" s="22"/>
      <c r="K179" s="22"/>
      <c r="L179" s="22"/>
    </row>
    <row r="180" customFormat="false" ht="15" hidden="false" customHeight="false" outlineLevel="0" collapsed="false">
      <c r="A180" s="22" t="n">
        <v>179</v>
      </c>
      <c r="B180" s="25"/>
      <c r="C180" s="22"/>
      <c r="D180" s="22"/>
      <c r="E180" s="22"/>
      <c r="F180" s="22"/>
      <c r="G180" s="22"/>
      <c r="H180" s="22"/>
      <c r="I180" s="22"/>
      <c r="J180" s="22"/>
      <c r="K180" s="22"/>
      <c r="L180" s="22"/>
    </row>
    <row r="181" customFormat="false" ht="15" hidden="false" customHeight="false" outlineLevel="0" collapsed="false">
      <c r="A181" s="22" t="n">
        <v>180</v>
      </c>
      <c r="B181" s="25"/>
      <c r="C181" s="22"/>
      <c r="D181" s="22"/>
      <c r="E181" s="22"/>
      <c r="F181" s="22"/>
      <c r="G181" s="22"/>
      <c r="H181" s="22"/>
      <c r="I181" s="22"/>
      <c r="J181" s="22"/>
      <c r="K181" s="22"/>
      <c r="L181" s="22"/>
    </row>
    <row r="182" customFormat="false" ht="15" hidden="false" customHeight="false" outlineLevel="0" collapsed="false">
      <c r="A182" s="22" t="n">
        <v>181</v>
      </c>
      <c r="B182" s="25"/>
      <c r="C182" s="22"/>
      <c r="D182" s="22"/>
      <c r="E182" s="22"/>
      <c r="F182" s="22"/>
      <c r="G182" s="22"/>
      <c r="H182" s="22"/>
      <c r="I182" s="22"/>
      <c r="J182" s="22"/>
      <c r="K182" s="22"/>
      <c r="L182" s="22"/>
    </row>
    <row r="183" customFormat="false" ht="15" hidden="false" customHeight="false" outlineLevel="0" collapsed="false">
      <c r="A183" s="22" t="n">
        <v>182</v>
      </c>
      <c r="B183" s="25"/>
      <c r="C183" s="22"/>
      <c r="D183" s="22"/>
      <c r="E183" s="22"/>
      <c r="F183" s="22"/>
      <c r="G183" s="22"/>
      <c r="H183" s="22"/>
      <c r="I183" s="22"/>
      <c r="J183" s="22"/>
      <c r="K183" s="22"/>
      <c r="L183" s="22"/>
    </row>
    <row r="184" customFormat="false" ht="15" hidden="false" customHeight="false" outlineLevel="0" collapsed="false">
      <c r="A184" s="22" t="n">
        <v>183</v>
      </c>
      <c r="B184" s="25"/>
      <c r="C184" s="22"/>
      <c r="D184" s="22"/>
      <c r="E184" s="22"/>
      <c r="F184" s="22"/>
      <c r="G184" s="22"/>
      <c r="H184" s="22"/>
      <c r="I184" s="22"/>
      <c r="J184" s="22"/>
      <c r="K184" s="22"/>
      <c r="L184" s="22"/>
    </row>
    <row r="185" customFormat="false" ht="15" hidden="false" customHeight="false" outlineLevel="0" collapsed="false">
      <c r="A185" s="22" t="n">
        <v>184</v>
      </c>
      <c r="B185" s="25"/>
      <c r="C185" s="22"/>
      <c r="D185" s="22"/>
      <c r="E185" s="22"/>
      <c r="F185" s="22"/>
      <c r="G185" s="22"/>
      <c r="H185" s="22"/>
      <c r="I185" s="22"/>
      <c r="J185" s="22"/>
      <c r="K185" s="22"/>
      <c r="L185" s="22"/>
    </row>
    <row r="186" customFormat="false" ht="15" hidden="false" customHeight="false" outlineLevel="0" collapsed="false">
      <c r="A186" s="22" t="n">
        <v>185</v>
      </c>
      <c r="B186" s="25"/>
      <c r="C186" s="22"/>
      <c r="D186" s="22"/>
      <c r="E186" s="22"/>
      <c r="F186" s="22"/>
      <c r="G186" s="22"/>
      <c r="H186" s="22"/>
      <c r="I186" s="22"/>
      <c r="J186" s="22"/>
      <c r="K186" s="22"/>
      <c r="L186" s="22"/>
    </row>
    <row r="187" customFormat="false" ht="15" hidden="false" customHeight="false" outlineLevel="0" collapsed="false">
      <c r="A187" s="22" t="n">
        <v>186</v>
      </c>
      <c r="B187" s="25"/>
      <c r="C187" s="22"/>
      <c r="D187" s="22"/>
      <c r="E187" s="22"/>
      <c r="F187" s="22"/>
      <c r="G187" s="22"/>
      <c r="H187" s="22"/>
      <c r="I187" s="22"/>
      <c r="J187" s="22"/>
      <c r="K187" s="22"/>
      <c r="L187" s="22"/>
    </row>
    <row r="188" customFormat="false" ht="15" hidden="false" customHeight="false" outlineLevel="0" collapsed="false">
      <c r="A188" s="22" t="n">
        <v>187</v>
      </c>
      <c r="B188" s="25"/>
      <c r="C188" s="22"/>
      <c r="D188" s="22"/>
      <c r="E188" s="22"/>
      <c r="F188" s="22"/>
      <c r="G188" s="22"/>
      <c r="H188" s="22"/>
      <c r="I188" s="22"/>
      <c r="J188" s="22"/>
      <c r="K188" s="22"/>
      <c r="L188" s="22"/>
    </row>
    <row r="189" customFormat="false" ht="15" hidden="false" customHeight="false" outlineLevel="0" collapsed="false">
      <c r="A189" s="22" t="n">
        <v>188</v>
      </c>
      <c r="B189" s="25"/>
      <c r="C189" s="22"/>
      <c r="D189" s="22"/>
      <c r="E189" s="22"/>
      <c r="F189" s="22"/>
      <c r="G189" s="22"/>
      <c r="H189" s="22"/>
      <c r="I189" s="22"/>
      <c r="J189" s="22"/>
      <c r="K189" s="22"/>
      <c r="L189" s="22"/>
    </row>
    <row r="190" customFormat="false" ht="15" hidden="false" customHeight="false" outlineLevel="0" collapsed="false">
      <c r="A190" s="22" t="n">
        <v>189</v>
      </c>
      <c r="B190" s="25"/>
      <c r="C190" s="22"/>
      <c r="D190" s="22"/>
      <c r="E190" s="22"/>
      <c r="F190" s="22"/>
      <c r="G190" s="22"/>
      <c r="H190" s="22"/>
      <c r="I190" s="22"/>
      <c r="J190" s="22"/>
      <c r="K190" s="22"/>
      <c r="L190" s="22"/>
    </row>
    <row r="191" customFormat="false" ht="15" hidden="false" customHeight="false" outlineLevel="0" collapsed="false">
      <c r="A191" s="22" t="n">
        <v>190</v>
      </c>
      <c r="B191" s="25"/>
      <c r="C191" s="22"/>
      <c r="D191" s="22"/>
      <c r="E191" s="22"/>
      <c r="F191" s="22"/>
      <c r="G191" s="22"/>
      <c r="H191" s="22"/>
      <c r="I191" s="22"/>
      <c r="J191" s="22"/>
      <c r="K191" s="22"/>
      <c r="L191" s="22"/>
    </row>
    <row r="192" customFormat="false" ht="15" hidden="false" customHeight="false" outlineLevel="0" collapsed="false">
      <c r="A192" s="22" t="n">
        <v>191</v>
      </c>
      <c r="B192" s="25"/>
      <c r="C192" s="22"/>
      <c r="D192" s="22"/>
      <c r="E192" s="22"/>
      <c r="F192" s="22"/>
      <c r="G192" s="22"/>
      <c r="H192" s="22"/>
      <c r="I192" s="22"/>
      <c r="J192" s="22"/>
      <c r="K192" s="22"/>
      <c r="L192" s="22"/>
    </row>
    <row r="193" customFormat="false" ht="15" hidden="false" customHeight="false" outlineLevel="0" collapsed="false">
      <c r="A193" s="22" t="n">
        <v>192</v>
      </c>
      <c r="B193" s="25"/>
      <c r="C193" s="22"/>
      <c r="D193" s="22"/>
      <c r="E193" s="22"/>
      <c r="F193" s="22"/>
      <c r="G193" s="22"/>
      <c r="H193" s="22"/>
      <c r="I193" s="22"/>
      <c r="J193" s="22"/>
      <c r="K193" s="22"/>
      <c r="L193" s="22"/>
    </row>
    <row r="194" customFormat="false" ht="15" hidden="false" customHeight="false" outlineLevel="0" collapsed="false">
      <c r="A194" s="22" t="n">
        <v>193</v>
      </c>
      <c r="B194" s="25"/>
      <c r="C194" s="22"/>
      <c r="D194" s="22"/>
      <c r="E194" s="22"/>
      <c r="F194" s="22"/>
      <c r="G194" s="22"/>
      <c r="H194" s="22"/>
      <c r="I194" s="22"/>
      <c r="J194" s="22"/>
      <c r="K194" s="22"/>
      <c r="L194" s="22"/>
    </row>
    <row r="195" customFormat="false" ht="15" hidden="false" customHeight="false" outlineLevel="0" collapsed="false">
      <c r="A195" s="22" t="n">
        <v>194</v>
      </c>
      <c r="B195" s="25"/>
      <c r="C195" s="22"/>
      <c r="D195" s="22"/>
      <c r="E195" s="22"/>
      <c r="F195" s="22"/>
      <c r="G195" s="22"/>
      <c r="H195" s="22"/>
      <c r="I195" s="22"/>
      <c r="J195" s="22"/>
      <c r="K195" s="22"/>
      <c r="L195" s="22"/>
    </row>
    <row r="196" customFormat="false" ht="15" hidden="false" customHeight="false" outlineLevel="0" collapsed="false">
      <c r="A196" s="22" t="n">
        <v>195</v>
      </c>
      <c r="B196" s="25"/>
      <c r="C196" s="22"/>
      <c r="D196" s="22"/>
      <c r="E196" s="22"/>
      <c r="F196" s="22"/>
      <c r="G196" s="22"/>
      <c r="H196" s="22"/>
      <c r="I196" s="22"/>
      <c r="J196" s="22"/>
      <c r="K196" s="22"/>
      <c r="L196" s="22"/>
    </row>
    <row r="197" customFormat="false" ht="15" hidden="false" customHeight="false" outlineLevel="0" collapsed="false">
      <c r="A197" s="22" t="n">
        <v>196</v>
      </c>
      <c r="B197" s="25"/>
      <c r="C197" s="22"/>
      <c r="D197" s="22"/>
      <c r="E197" s="22"/>
      <c r="F197" s="22"/>
      <c r="G197" s="22"/>
      <c r="H197" s="22"/>
      <c r="I197" s="22"/>
      <c r="J197" s="22"/>
      <c r="K197" s="22"/>
      <c r="L197" s="22"/>
    </row>
    <row r="198" customFormat="false" ht="15" hidden="false" customHeight="false" outlineLevel="0" collapsed="false">
      <c r="A198" s="22" t="n">
        <v>197</v>
      </c>
      <c r="B198" s="25"/>
      <c r="C198" s="22"/>
      <c r="D198" s="22"/>
      <c r="E198" s="22"/>
      <c r="F198" s="22"/>
      <c r="G198" s="22"/>
      <c r="H198" s="22"/>
      <c r="I198" s="22"/>
      <c r="J198" s="22"/>
      <c r="K198" s="22"/>
      <c r="L198" s="22"/>
    </row>
    <row r="199" customFormat="false" ht="15" hidden="false" customHeight="false" outlineLevel="0" collapsed="false">
      <c r="A199" s="22" t="n">
        <v>198</v>
      </c>
      <c r="B199" s="25"/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customFormat="false" ht="15" hidden="false" customHeight="false" outlineLevel="0" collapsed="false">
      <c r="A200" s="22" t="n">
        <v>199</v>
      </c>
      <c r="B200" s="25"/>
      <c r="C200" s="22"/>
      <c r="D200" s="22"/>
      <c r="E200" s="22"/>
      <c r="F200" s="22"/>
      <c r="G200" s="22"/>
      <c r="H200" s="22"/>
      <c r="I200" s="22"/>
      <c r="J200" s="22"/>
      <c r="K200" s="22"/>
      <c r="L200" s="22"/>
    </row>
    <row r="201" customFormat="false" ht="15" hidden="false" customHeight="false" outlineLevel="0" collapsed="false">
      <c r="A201" s="22" t="n">
        <v>200</v>
      </c>
      <c r="B201" s="25"/>
      <c r="C201" s="22"/>
      <c r="D201" s="22"/>
      <c r="E201" s="22"/>
      <c r="F201" s="22"/>
      <c r="G201" s="22"/>
      <c r="H201" s="22"/>
      <c r="I201" s="22"/>
      <c r="J201" s="22"/>
      <c r="K201" s="22"/>
      <c r="L201" s="22"/>
    </row>
    <row r="204" customFormat="false" ht="15" hidden="false" customHeight="false" outlineLevel="0" collapsed="false">
      <c r="A204" s="16" t="s">
        <v>846</v>
      </c>
    </row>
  </sheetData>
  <dataValidations count="5">
    <dataValidation allowBlank="true" errorStyle="stop" operator="between" showDropDown="false" showErrorMessage="false" showInputMessage="false" sqref="C2:C201" type="list">
      <formula1>"Mock,Real"</formula1>
      <formula2>0</formula2>
    </dataValidation>
    <dataValidation allowBlank="true" errorStyle="stop" operator="between" showDropDown="false" showErrorMessage="false" showInputMessage="false" sqref="D2:D201" type="list">
      <formula1>"Python &amp; Django,SQL &amp; database,Backend debugging,DSA coding,System design,Docker &amp; cloud,Project discussion,Behavioural"</formula1>
      <formula2>0</formula2>
    </dataValidation>
    <dataValidation allowBlank="true" errorStyle="stop" operator="between" showDropDown="false" showErrorMessage="false" showInputMessage="false" sqref="E2:E201" type="list">
      <formula1>"Beginner,Intermediate,Advanced"</formula1>
      <formula2>0</formula2>
    </dataValidation>
    <dataValidation allowBlank="true" errorStyle="stop" operator="between" showDropDown="false" showErrorMessage="false" showInputMessage="false" sqref="H2:H201" type="list">
      <formula1>"1,2,3,4,5"</formula1>
      <formula2>0</formula2>
    </dataValidation>
    <dataValidation allowBlank="true" errorStyle="stop" operator="between" showDropDown="false" showErrorMessage="false" showInputMessage="false" sqref="L2:L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13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4" t="s">
        <v>847</v>
      </c>
    </row>
    <row r="2" customFormat="false" ht="15" hidden="false" customHeight="false" outlineLevel="0" collapsed="false">
      <c r="A2" s="16" t="s">
        <v>848</v>
      </c>
    </row>
    <row r="3" customFormat="false" ht="33.75" hidden="false" customHeight="true" outlineLevel="0" collapsed="false">
      <c r="A3" s="21" t="s">
        <v>565</v>
      </c>
      <c r="B3" s="21" t="s">
        <v>849</v>
      </c>
      <c r="C3" s="21" t="s">
        <v>850</v>
      </c>
      <c r="D3" s="21" t="s">
        <v>851</v>
      </c>
      <c r="E3" s="21" t="s">
        <v>852</v>
      </c>
      <c r="F3" s="21" t="s">
        <v>120</v>
      </c>
      <c r="G3" s="21" t="s">
        <v>853</v>
      </c>
    </row>
    <row r="4" customFormat="false" ht="15" hidden="false" customHeight="false" outlineLevel="0" collapsed="false">
      <c r="A4" s="22" t="s">
        <v>854</v>
      </c>
      <c r="B4" s="22" t="s">
        <v>855</v>
      </c>
      <c r="C4" s="22" t="s">
        <v>856</v>
      </c>
      <c r="D4" s="22" t="n">
        <v>18</v>
      </c>
      <c r="E4" s="22" t="s">
        <v>857</v>
      </c>
      <c r="F4" s="26" t="s">
        <v>136</v>
      </c>
      <c r="G4" s="26"/>
    </row>
    <row r="5" customFormat="false" ht="15" hidden="false" customHeight="false" outlineLevel="0" collapsed="false">
      <c r="A5" s="22" t="s">
        <v>854</v>
      </c>
      <c r="B5" s="22" t="s">
        <v>855</v>
      </c>
      <c r="C5" s="22" t="s">
        <v>858</v>
      </c>
      <c r="D5" s="22" t="n">
        <v>18</v>
      </c>
      <c r="E5" s="22" t="s">
        <v>859</v>
      </c>
      <c r="F5" s="26" t="s">
        <v>136</v>
      </c>
      <c r="G5" s="26"/>
    </row>
    <row r="6" customFormat="false" ht="15" hidden="false" customHeight="false" outlineLevel="0" collapsed="false">
      <c r="A6" s="22" t="s">
        <v>854</v>
      </c>
      <c r="B6" s="22" t="s">
        <v>855</v>
      </c>
      <c r="C6" s="22" t="s">
        <v>860</v>
      </c>
      <c r="D6" s="22" t="n">
        <v>19</v>
      </c>
      <c r="E6" s="22" t="s">
        <v>861</v>
      </c>
      <c r="F6" s="26" t="s">
        <v>136</v>
      </c>
      <c r="G6" s="26"/>
    </row>
    <row r="7" customFormat="false" ht="15" hidden="false" customHeight="false" outlineLevel="0" collapsed="false">
      <c r="A7" s="22" t="s">
        <v>854</v>
      </c>
      <c r="B7" s="22" t="s">
        <v>855</v>
      </c>
      <c r="C7" s="22" t="s">
        <v>862</v>
      </c>
      <c r="D7" s="22" t="n">
        <v>16</v>
      </c>
      <c r="E7" s="22" t="s">
        <v>863</v>
      </c>
      <c r="F7" s="26" t="s">
        <v>136</v>
      </c>
      <c r="G7" s="26"/>
    </row>
    <row r="8" customFormat="false" ht="23.85" hidden="false" customHeight="false" outlineLevel="0" collapsed="false">
      <c r="A8" s="22" t="s">
        <v>854</v>
      </c>
      <c r="B8" s="22" t="s">
        <v>855</v>
      </c>
      <c r="C8" s="22" t="s">
        <v>864</v>
      </c>
      <c r="D8" s="22" t="n">
        <v>20</v>
      </c>
      <c r="E8" s="22" t="s">
        <v>865</v>
      </c>
      <c r="F8" s="26" t="s">
        <v>136</v>
      </c>
      <c r="G8" s="26"/>
    </row>
    <row r="9" customFormat="false" ht="15" hidden="false" customHeight="false" outlineLevel="0" collapsed="false">
      <c r="A9" s="22" t="s">
        <v>854</v>
      </c>
      <c r="B9" s="22" t="s">
        <v>855</v>
      </c>
      <c r="C9" s="22" t="s">
        <v>866</v>
      </c>
      <c r="D9" s="22" t="n">
        <v>27</v>
      </c>
      <c r="E9" s="22" t="s">
        <v>867</v>
      </c>
      <c r="F9" s="26" t="s">
        <v>136</v>
      </c>
      <c r="G9" s="26"/>
    </row>
    <row r="10" customFormat="false" ht="15" hidden="false" customHeight="false" outlineLevel="0" collapsed="false">
      <c r="A10" s="22" t="s">
        <v>868</v>
      </c>
      <c r="B10" s="22" t="s">
        <v>869</v>
      </c>
      <c r="C10" s="22" t="s">
        <v>870</v>
      </c>
      <c r="D10" s="22" t="n">
        <v>22</v>
      </c>
      <c r="E10" s="22" t="s">
        <v>871</v>
      </c>
      <c r="F10" s="26" t="s">
        <v>136</v>
      </c>
      <c r="G10" s="26"/>
    </row>
    <row r="11" customFormat="false" ht="15" hidden="false" customHeight="false" outlineLevel="0" collapsed="false">
      <c r="A11" s="22" t="s">
        <v>868</v>
      </c>
      <c r="B11" s="22" t="s">
        <v>869</v>
      </c>
      <c r="C11" s="22" t="s">
        <v>872</v>
      </c>
      <c r="D11" s="22" t="n">
        <v>23</v>
      </c>
      <c r="E11" s="22" t="s">
        <v>873</v>
      </c>
      <c r="F11" s="26" t="s">
        <v>136</v>
      </c>
      <c r="G11" s="26"/>
    </row>
    <row r="12" customFormat="false" ht="15" hidden="false" customHeight="false" outlineLevel="0" collapsed="false">
      <c r="A12" s="22" t="s">
        <v>868</v>
      </c>
      <c r="B12" s="22" t="s">
        <v>869</v>
      </c>
      <c r="C12" s="22" t="s">
        <v>874</v>
      </c>
      <c r="D12" s="22" t="n">
        <v>24</v>
      </c>
      <c r="E12" s="22" t="s">
        <v>875</v>
      </c>
      <c r="F12" s="26" t="s">
        <v>136</v>
      </c>
      <c r="G12" s="26"/>
    </row>
    <row r="13" customFormat="false" ht="15" hidden="false" customHeight="false" outlineLevel="0" collapsed="false">
      <c r="A13" s="22" t="s">
        <v>868</v>
      </c>
      <c r="B13" s="22" t="s">
        <v>869</v>
      </c>
      <c r="C13" s="22" t="s">
        <v>876</v>
      </c>
      <c r="D13" s="22" t="n">
        <v>25</v>
      </c>
      <c r="E13" s="22" t="s">
        <v>877</v>
      </c>
      <c r="F13" s="26" t="s">
        <v>136</v>
      </c>
      <c r="G13" s="26"/>
    </row>
    <row r="14" customFormat="false" ht="15" hidden="false" customHeight="false" outlineLevel="0" collapsed="false">
      <c r="A14" s="22" t="s">
        <v>868</v>
      </c>
      <c r="B14" s="22" t="s">
        <v>869</v>
      </c>
      <c r="C14" s="22" t="s">
        <v>878</v>
      </c>
      <c r="D14" s="22" t="n">
        <v>26</v>
      </c>
      <c r="E14" s="22" t="s">
        <v>879</v>
      </c>
      <c r="F14" s="26" t="s">
        <v>136</v>
      </c>
      <c r="G14" s="26"/>
    </row>
    <row r="15" customFormat="false" ht="23.85" hidden="false" customHeight="false" outlineLevel="0" collapsed="false">
      <c r="A15" s="22" t="s">
        <v>880</v>
      </c>
      <c r="B15" s="22" t="s">
        <v>881</v>
      </c>
      <c r="C15" s="22" t="s">
        <v>882</v>
      </c>
      <c r="D15" s="22" t="n">
        <v>29</v>
      </c>
      <c r="E15" s="22" t="s">
        <v>883</v>
      </c>
      <c r="F15" s="26" t="s">
        <v>136</v>
      </c>
      <c r="G15" s="26"/>
    </row>
    <row r="16" customFormat="false" ht="23.85" hidden="false" customHeight="false" outlineLevel="0" collapsed="false">
      <c r="A16" s="22" t="s">
        <v>880</v>
      </c>
      <c r="B16" s="22" t="s">
        <v>881</v>
      </c>
      <c r="C16" s="22" t="s">
        <v>884</v>
      </c>
      <c r="D16" s="22" t="n">
        <v>29</v>
      </c>
      <c r="E16" s="22" t="s">
        <v>885</v>
      </c>
      <c r="F16" s="26" t="s">
        <v>136</v>
      </c>
      <c r="G16" s="26"/>
    </row>
    <row r="17" customFormat="false" ht="23.85" hidden="false" customHeight="false" outlineLevel="0" collapsed="false">
      <c r="A17" s="22" t="s">
        <v>880</v>
      </c>
      <c r="B17" s="22" t="s">
        <v>881</v>
      </c>
      <c r="C17" s="22" t="s">
        <v>886</v>
      </c>
      <c r="D17" s="22" t="n">
        <v>48</v>
      </c>
      <c r="E17" s="22" t="s">
        <v>887</v>
      </c>
      <c r="F17" s="26" t="s">
        <v>136</v>
      </c>
      <c r="G17" s="26"/>
    </row>
    <row r="18" customFormat="false" ht="23.85" hidden="false" customHeight="false" outlineLevel="0" collapsed="false">
      <c r="A18" s="22" t="s">
        <v>880</v>
      </c>
      <c r="B18" s="22" t="s">
        <v>881</v>
      </c>
      <c r="C18" s="22" t="s">
        <v>888</v>
      </c>
      <c r="D18" s="22" t="n">
        <v>47</v>
      </c>
      <c r="E18" s="22" t="s">
        <v>889</v>
      </c>
      <c r="F18" s="26" t="s">
        <v>136</v>
      </c>
      <c r="G18" s="26"/>
    </row>
    <row r="19" customFormat="false" ht="15" hidden="false" customHeight="false" outlineLevel="0" collapsed="false">
      <c r="A19" s="22" t="s">
        <v>890</v>
      </c>
      <c r="B19" s="22" t="s">
        <v>891</v>
      </c>
      <c r="C19" s="22" t="s">
        <v>892</v>
      </c>
      <c r="D19" s="22" t="n">
        <v>34</v>
      </c>
      <c r="E19" s="22" t="s">
        <v>893</v>
      </c>
      <c r="F19" s="26" t="s">
        <v>136</v>
      </c>
      <c r="G19" s="26"/>
    </row>
    <row r="20" customFormat="false" ht="15" hidden="false" customHeight="false" outlineLevel="0" collapsed="false">
      <c r="A20" s="22" t="s">
        <v>890</v>
      </c>
      <c r="B20" s="22" t="s">
        <v>891</v>
      </c>
      <c r="C20" s="22" t="s">
        <v>894</v>
      </c>
      <c r="D20" s="22" t="n">
        <v>38</v>
      </c>
      <c r="E20" s="22" t="s">
        <v>895</v>
      </c>
      <c r="F20" s="26" t="s">
        <v>136</v>
      </c>
      <c r="G20" s="26"/>
    </row>
    <row r="21" customFormat="false" ht="15" hidden="false" customHeight="false" outlineLevel="0" collapsed="false">
      <c r="A21" s="22" t="s">
        <v>890</v>
      </c>
      <c r="B21" s="22" t="s">
        <v>891</v>
      </c>
      <c r="C21" s="22" t="s">
        <v>896</v>
      </c>
      <c r="D21" s="22" t="n">
        <v>44</v>
      </c>
      <c r="E21" s="22" t="s">
        <v>897</v>
      </c>
      <c r="F21" s="26" t="s">
        <v>136</v>
      </c>
      <c r="G21" s="26"/>
    </row>
    <row r="22" customFormat="false" ht="15" hidden="false" customHeight="false" outlineLevel="0" collapsed="false">
      <c r="A22" s="22" t="s">
        <v>890</v>
      </c>
      <c r="B22" s="22" t="s">
        <v>891</v>
      </c>
      <c r="C22" s="22" t="s">
        <v>898</v>
      </c>
      <c r="D22" s="22" t="n">
        <v>46</v>
      </c>
      <c r="E22" s="22" t="s">
        <v>899</v>
      </c>
      <c r="F22" s="26" t="s">
        <v>136</v>
      </c>
      <c r="G22" s="26"/>
    </row>
    <row r="23" customFormat="false" ht="15" hidden="false" customHeight="false" outlineLevel="0" collapsed="false">
      <c r="A23" s="22" t="s">
        <v>890</v>
      </c>
      <c r="B23" s="22" t="s">
        <v>891</v>
      </c>
      <c r="C23" s="22" t="s">
        <v>900</v>
      </c>
      <c r="D23" s="22" t="n">
        <v>50</v>
      </c>
      <c r="E23" s="22" t="s">
        <v>901</v>
      </c>
      <c r="F23" s="26" t="s">
        <v>136</v>
      </c>
      <c r="G23" s="26"/>
    </row>
    <row r="26" customFormat="false" ht="33.75" hidden="false" customHeight="true" outlineLevel="0" collapsed="false">
      <c r="A26" s="21" t="s">
        <v>806</v>
      </c>
      <c r="B26" s="21" t="s">
        <v>902</v>
      </c>
      <c r="C26" s="21" t="s">
        <v>903</v>
      </c>
      <c r="D26" s="21"/>
      <c r="E26" s="21"/>
      <c r="F26" s="21" t="s">
        <v>904</v>
      </c>
      <c r="G26" s="21"/>
    </row>
    <row r="27" customFormat="false" ht="15" hidden="false" customHeight="false" outlineLevel="0" collapsed="false">
      <c r="A27" s="22" t="n">
        <v>1</v>
      </c>
      <c r="B27" s="22" t="s">
        <v>905</v>
      </c>
      <c r="C27" s="22" t="s">
        <v>906</v>
      </c>
      <c r="D27" s="22"/>
      <c r="E27" s="22"/>
      <c r="F27" s="26"/>
      <c r="G27" s="22"/>
    </row>
    <row r="28" customFormat="false" ht="15" hidden="false" customHeight="false" outlineLevel="0" collapsed="false">
      <c r="A28" s="22" t="n">
        <v>2</v>
      </c>
      <c r="B28" s="22" t="s">
        <v>905</v>
      </c>
      <c r="C28" s="22" t="s">
        <v>907</v>
      </c>
      <c r="D28" s="22"/>
      <c r="E28" s="22"/>
      <c r="F28" s="26"/>
      <c r="G28" s="22"/>
    </row>
    <row r="29" customFormat="false" ht="15" hidden="false" customHeight="false" outlineLevel="0" collapsed="false">
      <c r="A29" s="22" t="n">
        <v>3</v>
      </c>
      <c r="B29" s="22" t="s">
        <v>908</v>
      </c>
      <c r="C29" s="22" t="s">
        <v>909</v>
      </c>
      <c r="D29" s="22"/>
      <c r="E29" s="22"/>
      <c r="F29" s="26"/>
      <c r="G29" s="22"/>
    </row>
    <row r="30" customFormat="false" ht="15" hidden="false" customHeight="false" outlineLevel="0" collapsed="false">
      <c r="A30" s="22" t="n">
        <v>4</v>
      </c>
      <c r="B30" s="22" t="s">
        <v>908</v>
      </c>
      <c r="C30" s="22" t="s">
        <v>910</v>
      </c>
      <c r="D30" s="22"/>
      <c r="E30" s="22"/>
      <c r="F30" s="26"/>
      <c r="G30" s="22"/>
    </row>
    <row r="31" customFormat="false" ht="15" hidden="false" customHeight="false" outlineLevel="0" collapsed="false">
      <c r="A31" s="22" t="n">
        <v>5</v>
      </c>
      <c r="B31" s="22" t="s">
        <v>911</v>
      </c>
      <c r="C31" s="22" t="s">
        <v>912</v>
      </c>
      <c r="D31" s="22"/>
      <c r="E31" s="22"/>
      <c r="F31" s="26"/>
      <c r="G31" s="22"/>
    </row>
    <row r="32" customFormat="false" ht="15" hidden="false" customHeight="false" outlineLevel="0" collapsed="false">
      <c r="A32" s="22" t="n">
        <v>6</v>
      </c>
      <c r="B32" s="22" t="s">
        <v>911</v>
      </c>
      <c r="C32" s="22" t="s">
        <v>913</v>
      </c>
      <c r="D32" s="22"/>
      <c r="E32" s="22"/>
      <c r="F32" s="26"/>
      <c r="G32" s="22"/>
    </row>
    <row r="33" customFormat="false" ht="15" hidden="false" customHeight="false" outlineLevel="0" collapsed="false">
      <c r="A33" s="22" t="n">
        <v>7</v>
      </c>
      <c r="B33" s="22" t="s">
        <v>914</v>
      </c>
      <c r="C33" s="22" t="s">
        <v>915</v>
      </c>
      <c r="D33" s="22"/>
      <c r="E33" s="22"/>
      <c r="F33" s="26"/>
      <c r="G33" s="22"/>
    </row>
    <row r="34" customFormat="false" ht="15" hidden="false" customHeight="false" outlineLevel="0" collapsed="false">
      <c r="A34" s="22" t="n">
        <v>8</v>
      </c>
      <c r="B34" s="22" t="s">
        <v>914</v>
      </c>
      <c r="C34" s="22" t="s">
        <v>916</v>
      </c>
      <c r="D34" s="22"/>
      <c r="E34" s="22"/>
      <c r="F34" s="26"/>
      <c r="G34" s="22"/>
    </row>
    <row r="35" customFormat="false" ht="23.85" hidden="false" customHeight="false" outlineLevel="0" collapsed="false">
      <c r="A35" s="22" t="n">
        <v>9</v>
      </c>
      <c r="B35" s="22" t="s">
        <v>917</v>
      </c>
      <c r="C35" s="22" t="s">
        <v>918</v>
      </c>
      <c r="D35" s="22"/>
      <c r="E35" s="22"/>
      <c r="F35" s="26"/>
      <c r="G35" s="22"/>
    </row>
    <row r="36" customFormat="false" ht="15" hidden="false" customHeight="false" outlineLevel="0" collapsed="false">
      <c r="A36" s="22" t="n">
        <v>10</v>
      </c>
      <c r="B36" s="22" t="s">
        <v>917</v>
      </c>
      <c r="C36" s="22" t="s">
        <v>919</v>
      </c>
      <c r="D36" s="22"/>
      <c r="E36" s="22"/>
      <c r="F36" s="26"/>
      <c r="G36" s="22"/>
    </row>
    <row r="37" customFormat="false" ht="15" hidden="false" customHeight="false" outlineLevel="0" collapsed="false">
      <c r="A37" s="22" t="n">
        <v>11</v>
      </c>
      <c r="B37" s="22" t="s">
        <v>920</v>
      </c>
      <c r="C37" s="22" t="s">
        <v>921</v>
      </c>
      <c r="D37" s="22"/>
      <c r="E37" s="22"/>
      <c r="F37" s="26"/>
      <c r="G37" s="22"/>
    </row>
    <row r="38" customFormat="false" ht="15" hidden="false" customHeight="false" outlineLevel="0" collapsed="false">
      <c r="A38" s="22" t="n">
        <v>12</v>
      </c>
      <c r="B38" s="22" t="s">
        <v>920</v>
      </c>
      <c r="C38" s="22" t="s">
        <v>922</v>
      </c>
      <c r="D38" s="22"/>
      <c r="E38" s="22"/>
      <c r="F38" s="26"/>
      <c r="G38" s="22"/>
    </row>
  </sheetData>
  <conditionalFormatting sqref="F4:F23">
    <cfRule type="cellIs" priority="2" operator="equal" aboveAverage="0" equalAverage="0" bottom="0" percent="0" rank="0" text="" dxfId="4">
      <formula>"Completed"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true" errorStyle="stop" operator="between" showDropDown="false" showErrorMessage="false" showInputMessage="false" sqref="F4:F23" type="list">
      <formula1>"Not Started,In Progress,Blocked,Completed"</formula1>
      <formula2>0</formula2>
    </dataValidation>
    <dataValidation allowBlank="true" errorStyle="stop" operator="between" showDropDown="false" showErrorMessage="false" showInputMessage="false" sqref="F27:F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21" t="s">
        <v>806</v>
      </c>
      <c r="B1" s="21" t="s">
        <v>923</v>
      </c>
      <c r="C1" s="21" t="s">
        <v>110</v>
      </c>
      <c r="D1" s="21" t="s">
        <v>924</v>
      </c>
      <c r="E1" s="21" t="s">
        <v>925</v>
      </c>
      <c r="F1" s="21" t="s">
        <v>926</v>
      </c>
      <c r="G1" s="21" t="s">
        <v>927</v>
      </c>
      <c r="H1" s="21" t="s">
        <v>928</v>
      </c>
      <c r="I1" s="21" t="s">
        <v>120</v>
      </c>
      <c r="J1" s="21" t="s">
        <v>929</v>
      </c>
    </row>
    <row r="2" customFormat="false" ht="15" hidden="false" customHeight="false" outlineLevel="0" collapsed="false">
      <c r="A2" s="22" t="n">
        <v>1</v>
      </c>
      <c r="B2" s="27"/>
      <c r="C2" s="26"/>
      <c r="D2" s="26"/>
      <c r="E2" s="26"/>
      <c r="F2" s="26"/>
      <c r="G2" s="26"/>
      <c r="H2" s="27"/>
      <c r="I2" s="26"/>
      <c r="J2" s="26"/>
    </row>
    <row r="3" customFormat="false" ht="15" hidden="false" customHeight="false" outlineLevel="0" collapsed="false">
      <c r="A3" s="22" t="n">
        <v>2</v>
      </c>
      <c r="B3" s="27"/>
      <c r="C3" s="26"/>
      <c r="D3" s="26"/>
      <c r="E3" s="26"/>
      <c r="F3" s="26"/>
      <c r="G3" s="26"/>
      <c r="H3" s="27"/>
      <c r="I3" s="26"/>
      <c r="J3" s="26"/>
    </row>
    <row r="4" customFormat="false" ht="15" hidden="false" customHeight="false" outlineLevel="0" collapsed="false">
      <c r="A4" s="22" t="n">
        <v>3</v>
      </c>
      <c r="B4" s="27"/>
      <c r="C4" s="26"/>
      <c r="D4" s="26"/>
      <c r="E4" s="26"/>
      <c r="F4" s="26"/>
      <c r="G4" s="26"/>
      <c r="H4" s="27"/>
      <c r="I4" s="26"/>
      <c r="J4" s="26"/>
    </row>
    <row r="5" customFormat="false" ht="15" hidden="false" customHeight="false" outlineLevel="0" collapsed="false">
      <c r="A5" s="22" t="n">
        <v>4</v>
      </c>
      <c r="B5" s="27"/>
      <c r="C5" s="26"/>
      <c r="D5" s="26"/>
      <c r="E5" s="26"/>
      <c r="F5" s="26"/>
      <c r="G5" s="26"/>
      <c r="H5" s="27"/>
      <c r="I5" s="26"/>
      <c r="J5" s="26"/>
    </row>
    <row r="6" customFormat="false" ht="15" hidden="false" customHeight="false" outlineLevel="0" collapsed="false">
      <c r="A6" s="22" t="n">
        <v>5</v>
      </c>
      <c r="B6" s="27"/>
      <c r="C6" s="26"/>
      <c r="D6" s="26"/>
      <c r="E6" s="26"/>
      <c r="F6" s="26"/>
      <c r="G6" s="26"/>
      <c r="H6" s="27"/>
      <c r="I6" s="26"/>
      <c r="J6" s="26"/>
    </row>
    <row r="7" customFormat="false" ht="15" hidden="false" customHeight="false" outlineLevel="0" collapsed="false">
      <c r="A7" s="22" t="n">
        <v>6</v>
      </c>
      <c r="B7" s="27"/>
      <c r="C7" s="26"/>
      <c r="D7" s="26"/>
      <c r="E7" s="26"/>
      <c r="F7" s="26"/>
      <c r="G7" s="26"/>
      <c r="H7" s="27"/>
      <c r="I7" s="26"/>
      <c r="J7" s="26"/>
    </row>
    <row r="8" customFormat="false" ht="15" hidden="false" customHeight="false" outlineLevel="0" collapsed="false">
      <c r="A8" s="22" t="n">
        <v>7</v>
      </c>
      <c r="B8" s="27"/>
      <c r="C8" s="26"/>
      <c r="D8" s="26"/>
      <c r="E8" s="26"/>
      <c r="F8" s="26"/>
      <c r="G8" s="26"/>
      <c r="H8" s="27"/>
      <c r="I8" s="26"/>
      <c r="J8" s="26"/>
    </row>
    <row r="9" customFormat="false" ht="15" hidden="false" customHeight="false" outlineLevel="0" collapsed="false">
      <c r="A9" s="22" t="n">
        <v>8</v>
      </c>
      <c r="B9" s="27"/>
      <c r="C9" s="26"/>
      <c r="D9" s="26"/>
      <c r="E9" s="26"/>
      <c r="F9" s="26"/>
      <c r="G9" s="26"/>
      <c r="H9" s="27"/>
      <c r="I9" s="26"/>
      <c r="J9" s="26"/>
    </row>
    <row r="10" customFormat="false" ht="15" hidden="false" customHeight="false" outlineLevel="0" collapsed="false">
      <c r="A10" s="22" t="n">
        <v>9</v>
      </c>
      <c r="B10" s="27"/>
      <c r="C10" s="26"/>
      <c r="D10" s="26"/>
      <c r="E10" s="26"/>
      <c r="F10" s="26"/>
      <c r="G10" s="26"/>
      <c r="H10" s="27"/>
      <c r="I10" s="26"/>
      <c r="J10" s="26"/>
    </row>
    <row r="11" customFormat="false" ht="15" hidden="false" customHeight="false" outlineLevel="0" collapsed="false">
      <c r="A11" s="22" t="n">
        <v>10</v>
      </c>
      <c r="B11" s="27"/>
      <c r="C11" s="26"/>
      <c r="D11" s="26"/>
      <c r="E11" s="26"/>
      <c r="F11" s="26"/>
      <c r="G11" s="26"/>
      <c r="H11" s="27"/>
      <c r="I11" s="26"/>
      <c r="J11" s="26"/>
    </row>
    <row r="12" customFormat="false" ht="15" hidden="false" customHeight="false" outlineLevel="0" collapsed="false">
      <c r="A12" s="22" t="n">
        <v>11</v>
      </c>
      <c r="B12" s="27"/>
      <c r="C12" s="26"/>
      <c r="D12" s="26"/>
      <c r="E12" s="26"/>
      <c r="F12" s="26"/>
      <c r="G12" s="26"/>
      <c r="H12" s="27"/>
      <c r="I12" s="26"/>
      <c r="J12" s="26"/>
    </row>
    <row r="13" customFormat="false" ht="15" hidden="false" customHeight="false" outlineLevel="0" collapsed="false">
      <c r="A13" s="22" t="n">
        <v>12</v>
      </c>
      <c r="B13" s="27"/>
      <c r="C13" s="26"/>
      <c r="D13" s="26"/>
      <c r="E13" s="26"/>
      <c r="F13" s="26"/>
      <c r="G13" s="26"/>
      <c r="H13" s="27"/>
      <c r="I13" s="26"/>
      <c r="J13" s="26"/>
    </row>
    <row r="14" customFormat="false" ht="15" hidden="false" customHeight="false" outlineLevel="0" collapsed="false">
      <c r="A14" s="22" t="n">
        <v>13</v>
      </c>
      <c r="B14" s="27"/>
      <c r="C14" s="26"/>
      <c r="D14" s="26"/>
      <c r="E14" s="26"/>
      <c r="F14" s="26"/>
      <c r="G14" s="26"/>
      <c r="H14" s="27"/>
      <c r="I14" s="26"/>
      <c r="J14" s="26"/>
    </row>
    <row r="15" customFormat="false" ht="15" hidden="false" customHeight="false" outlineLevel="0" collapsed="false">
      <c r="A15" s="22" t="n">
        <v>14</v>
      </c>
      <c r="B15" s="27"/>
      <c r="C15" s="26"/>
      <c r="D15" s="26"/>
      <c r="E15" s="26"/>
      <c r="F15" s="26"/>
      <c r="G15" s="26"/>
      <c r="H15" s="27"/>
      <c r="I15" s="26"/>
      <c r="J15" s="26"/>
    </row>
    <row r="16" customFormat="false" ht="15" hidden="false" customHeight="false" outlineLevel="0" collapsed="false">
      <c r="A16" s="22" t="n">
        <v>15</v>
      </c>
      <c r="B16" s="27"/>
      <c r="C16" s="26"/>
      <c r="D16" s="26"/>
      <c r="E16" s="26"/>
      <c r="F16" s="26"/>
      <c r="G16" s="26"/>
      <c r="H16" s="27"/>
      <c r="I16" s="26"/>
      <c r="J16" s="26"/>
    </row>
    <row r="17" customFormat="false" ht="15" hidden="false" customHeight="false" outlineLevel="0" collapsed="false">
      <c r="A17" s="22" t="n">
        <v>16</v>
      </c>
      <c r="B17" s="27"/>
      <c r="C17" s="26"/>
      <c r="D17" s="26"/>
      <c r="E17" s="26"/>
      <c r="F17" s="26"/>
      <c r="G17" s="26"/>
      <c r="H17" s="27"/>
      <c r="I17" s="26"/>
      <c r="J17" s="26"/>
    </row>
    <row r="18" customFormat="false" ht="15" hidden="false" customHeight="false" outlineLevel="0" collapsed="false">
      <c r="A18" s="22" t="n">
        <v>17</v>
      </c>
      <c r="B18" s="27"/>
      <c r="C18" s="26"/>
      <c r="D18" s="26"/>
      <c r="E18" s="26"/>
      <c r="F18" s="26"/>
      <c r="G18" s="26"/>
      <c r="H18" s="27"/>
      <c r="I18" s="26"/>
      <c r="J18" s="26"/>
    </row>
    <row r="19" customFormat="false" ht="15" hidden="false" customHeight="false" outlineLevel="0" collapsed="false">
      <c r="A19" s="22" t="n">
        <v>18</v>
      </c>
      <c r="B19" s="27"/>
      <c r="C19" s="26"/>
      <c r="D19" s="26"/>
      <c r="E19" s="26"/>
      <c r="F19" s="26"/>
      <c r="G19" s="26"/>
      <c r="H19" s="27"/>
      <c r="I19" s="26"/>
      <c r="J19" s="26"/>
    </row>
    <row r="20" customFormat="false" ht="15" hidden="false" customHeight="false" outlineLevel="0" collapsed="false">
      <c r="A20" s="22" t="n">
        <v>19</v>
      </c>
      <c r="B20" s="27"/>
      <c r="C20" s="26"/>
      <c r="D20" s="26"/>
      <c r="E20" s="26"/>
      <c r="F20" s="26"/>
      <c r="G20" s="26"/>
      <c r="H20" s="27"/>
      <c r="I20" s="26"/>
      <c r="J20" s="26"/>
    </row>
    <row r="21" customFormat="false" ht="15" hidden="false" customHeight="false" outlineLevel="0" collapsed="false">
      <c r="A21" s="22" t="n">
        <v>20</v>
      </c>
      <c r="B21" s="27"/>
      <c r="C21" s="26"/>
      <c r="D21" s="26"/>
      <c r="E21" s="26"/>
      <c r="F21" s="26"/>
      <c r="G21" s="26"/>
      <c r="H21" s="27"/>
      <c r="I21" s="26"/>
      <c r="J21" s="26"/>
    </row>
    <row r="22" customFormat="false" ht="15" hidden="false" customHeight="false" outlineLevel="0" collapsed="false">
      <c r="A22" s="22" t="n">
        <v>21</v>
      </c>
      <c r="B22" s="27"/>
      <c r="C22" s="26"/>
      <c r="D22" s="26"/>
      <c r="E22" s="26"/>
      <c r="F22" s="26"/>
      <c r="G22" s="26"/>
      <c r="H22" s="27"/>
      <c r="I22" s="26"/>
      <c r="J22" s="26"/>
    </row>
    <row r="23" customFormat="false" ht="15" hidden="false" customHeight="false" outlineLevel="0" collapsed="false">
      <c r="A23" s="22" t="n">
        <v>22</v>
      </c>
      <c r="B23" s="27"/>
      <c r="C23" s="26"/>
      <c r="D23" s="26"/>
      <c r="E23" s="26"/>
      <c r="F23" s="26"/>
      <c r="G23" s="26"/>
      <c r="H23" s="27"/>
      <c r="I23" s="26"/>
      <c r="J23" s="26"/>
    </row>
    <row r="24" customFormat="false" ht="15" hidden="false" customHeight="false" outlineLevel="0" collapsed="false">
      <c r="A24" s="22" t="n">
        <v>23</v>
      </c>
      <c r="B24" s="27"/>
      <c r="C24" s="26"/>
      <c r="D24" s="26"/>
      <c r="E24" s="26"/>
      <c r="F24" s="26"/>
      <c r="G24" s="26"/>
      <c r="H24" s="27"/>
      <c r="I24" s="26"/>
      <c r="J24" s="26"/>
    </row>
    <row r="25" customFormat="false" ht="15" hidden="false" customHeight="false" outlineLevel="0" collapsed="false">
      <c r="A25" s="22" t="n">
        <v>24</v>
      </c>
      <c r="B25" s="27"/>
      <c r="C25" s="26"/>
      <c r="D25" s="26"/>
      <c r="E25" s="26"/>
      <c r="F25" s="26"/>
      <c r="G25" s="26"/>
      <c r="H25" s="27"/>
      <c r="I25" s="26"/>
      <c r="J25" s="26"/>
    </row>
    <row r="26" customFormat="false" ht="15" hidden="false" customHeight="false" outlineLevel="0" collapsed="false">
      <c r="A26" s="22" t="n">
        <v>25</v>
      </c>
      <c r="B26" s="27"/>
      <c r="C26" s="26"/>
      <c r="D26" s="26"/>
      <c r="E26" s="26"/>
      <c r="F26" s="26"/>
      <c r="G26" s="26"/>
      <c r="H26" s="27"/>
      <c r="I26" s="26"/>
      <c r="J26" s="26"/>
    </row>
    <row r="27" customFormat="false" ht="15" hidden="false" customHeight="false" outlineLevel="0" collapsed="false">
      <c r="A27" s="22" t="n">
        <v>26</v>
      </c>
      <c r="B27" s="27"/>
      <c r="C27" s="26"/>
      <c r="D27" s="26"/>
      <c r="E27" s="26"/>
      <c r="F27" s="26"/>
      <c r="G27" s="26"/>
      <c r="H27" s="27"/>
      <c r="I27" s="26"/>
      <c r="J27" s="26"/>
    </row>
    <row r="28" customFormat="false" ht="15" hidden="false" customHeight="false" outlineLevel="0" collapsed="false">
      <c r="A28" s="22" t="n">
        <v>27</v>
      </c>
      <c r="B28" s="27"/>
      <c r="C28" s="26"/>
      <c r="D28" s="26"/>
      <c r="E28" s="26"/>
      <c r="F28" s="26"/>
      <c r="G28" s="26"/>
      <c r="H28" s="27"/>
      <c r="I28" s="26"/>
      <c r="J28" s="26"/>
    </row>
    <row r="29" customFormat="false" ht="15" hidden="false" customHeight="false" outlineLevel="0" collapsed="false">
      <c r="A29" s="22" t="n">
        <v>28</v>
      </c>
      <c r="B29" s="27"/>
      <c r="C29" s="26"/>
      <c r="D29" s="26"/>
      <c r="E29" s="26"/>
      <c r="F29" s="26"/>
      <c r="G29" s="26"/>
      <c r="H29" s="27"/>
      <c r="I29" s="26"/>
      <c r="J29" s="26"/>
    </row>
    <row r="30" customFormat="false" ht="15" hidden="false" customHeight="false" outlineLevel="0" collapsed="false">
      <c r="A30" s="22" t="n">
        <v>29</v>
      </c>
      <c r="B30" s="27"/>
      <c r="C30" s="26"/>
      <c r="D30" s="26"/>
      <c r="E30" s="26"/>
      <c r="F30" s="26"/>
      <c r="G30" s="26"/>
      <c r="H30" s="27"/>
      <c r="I30" s="26"/>
      <c r="J30" s="26"/>
    </row>
    <row r="31" customFormat="false" ht="15" hidden="false" customHeight="false" outlineLevel="0" collapsed="false">
      <c r="A31" s="22" t="n">
        <v>30</v>
      </c>
      <c r="B31" s="27"/>
      <c r="C31" s="26"/>
      <c r="D31" s="26"/>
      <c r="E31" s="26"/>
      <c r="F31" s="26"/>
      <c r="G31" s="26"/>
      <c r="H31" s="27"/>
      <c r="I31" s="26"/>
      <c r="J31" s="26"/>
    </row>
    <row r="32" customFormat="false" ht="15" hidden="false" customHeight="false" outlineLevel="0" collapsed="false">
      <c r="A32" s="22" t="n">
        <v>31</v>
      </c>
      <c r="B32" s="27"/>
      <c r="C32" s="26"/>
      <c r="D32" s="26"/>
      <c r="E32" s="26"/>
      <c r="F32" s="26"/>
      <c r="G32" s="26"/>
      <c r="H32" s="27"/>
      <c r="I32" s="26"/>
      <c r="J32" s="26"/>
    </row>
    <row r="33" customFormat="false" ht="15" hidden="false" customHeight="false" outlineLevel="0" collapsed="false">
      <c r="A33" s="22" t="n">
        <v>32</v>
      </c>
      <c r="B33" s="27"/>
      <c r="C33" s="26"/>
      <c r="D33" s="26"/>
      <c r="E33" s="26"/>
      <c r="F33" s="26"/>
      <c r="G33" s="26"/>
      <c r="H33" s="27"/>
      <c r="I33" s="26"/>
      <c r="J33" s="26"/>
    </row>
    <row r="34" customFormat="false" ht="15" hidden="false" customHeight="false" outlineLevel="0" collapsed="false">
      <c r="A34" s="22" t="n">
        <v>33</v>
      </c>
      <c r="B34" s="27"/>
      <c r="C34" s="26"/>
      <c r="D34" s="26"/>
      <c r="E34" s="26"/>
      <c r="F34" s="26"/>
      <c r="G34" s="26"/>
      <c r="H34" s="27"/>
      <c r="I34" s="26"/>
      <c r="J34" s="26"/>
    </row>
    <row r="35" customFormat="false" ht="15" hidden="false" customHeight="false" outlineLevel="0" collapsed="false">
      <c r="A35" s="22" t="n">
        <v>34</v>
      </c>
      <c r="B35" s="27"/>
      <c r="C35" s="26"/>
      <c r="D35" s="26"/>
      <c r="E35" s="26"/>
      <c r="F35" s="26"/>
      <c r="G35" s="26"/>
      <c r="H35" s="27"/>
      <c r="I35" s="26"/>
      <c r="J35" s="26"/>
    </row>
    <row r="36" customFormat="false" ht="15" hidden="false" customHeight="false" outlineLevel="0" collapsed="false">
      <c r="A36" s="22" t="n">
        <v>35</v>
      </c>
      <c r="B36" s="27"/>
      <c r="C36" s="26"/>
      <c r="D36" s="26"/>
      <c r="E36" s="26"/>
      <c r="F36" s="26"/>
      <c r="G36" s="26"/>
      <c r="H36" s="27"/>
      <c r="I36" s="26"/>
      <c r="J36" s="26"/>
    </row>
    <row r="37" customFormat="false" ht="15" hidden="false" customHeight="false" outlineLevel="0" collapsed="false">
      <c r="A37" s="22" t="n">
        <v>36</v>
      </c>
      <c r="B37" s="27"/>
      <c r="C37" s="26"/>
      <c r="D37" s="26"/>
      <c r="E37" s="26"/>
      <c r="F37" s="26"/>
      <c r="G37" s="26"/>
      <c r="H37" s="27"/>
      <c r="I37" s="26"/>
      <c r="J37" s="26"/>
    </row>
    <row r="38" customFormat="false" ht="15" hidden="false" customHeight="false" outlineLevel="0" collapsed="false">
      <c r="A38" s="22" t="n">
        <v>37</v>
      </c>
      <c r="B38" s="27"/>
      <c r="C38" s="26"/>
      <c r="D38" s="26"/>
      <c r="E38" s="26"/>
      <c r="F38" s="26"/>
      <c r="G38" s="26"/>
      <c r="H38" s="27"/>
      <c r="I38" s="26"/>
      <c r="J38" s="26"/>
    </row>
    <row r="39" customFormat="false" ht="15" hidden="false" customHeight="false" outlineLevel="0" collapsed="false">
      <c r="A39" s="22" t="n">
        <v>38</v>
      </c>
      <c r="B39" s="27"/>
      <c r="C39" s="26"/>
      <c r="D39" s="26"/>
      <c r="E39" s="26"/>
      <c r="F39" s="26"/>
      <c r="G39" s="26"/>
      <c r="H39" s="27"/>
      <c r="I39" s="26"/>
      <c r="J39" s="26"/>
    </row>
    <row r="40" customFormat="false" ht="15" hidden="false" customHeight="false" outlineLevel="0" collapsed="false">
      <c r="A40" s="22" t="n">
        <v>39</v>
      </c>
      <c r="B40" s="27"/>
      <c r="C40" s="26"/>
      <c r="D40" s="26"/>
      <c r="E40" s="26"/>
      <c r="F40" s="26"/>
      <c r="G40" s="26"/>
      <c r="H40" s="27"/>
      <c r="I40" s="26"/>
      <c r="J40" s="26"/>
    </row>
    <row r="41" customFormat="false" ht="15" hidden="false" customHeight="false" outlineLevel="0" collapsed="false">
      <c r="A41" s="22" t="n">
        <v>40</v>
      </c>
      <c r="B41" s="27"/>
      <c r="C41" s="26"/>
      <c r="D41" s="26"/>
      <c r="E41" s="26"/>
      <c r="F41" s="26"/>
      <c r="G41" s="26"/>
      <c r="H41" s="27"/>
      <c r="I41" s="26"/>
      <c r="J41" s="26"/>
    </row>
    <row r="42" customFormat="false" ht="15" hidden="false" customHeight="false" outlineLevel="0" collapsed="false">
      <c r="A42" s="22" t="n">
        <v>41</v>
      </c>
      <c r="B42" s="27"/>
      <c r="C42" s="26"/>
      <c r="D42" s="26"/>
      <c r="E42" s="26"/>
      <c r="F42" s="26"/>
      <c r="G42" s="26"/>
      <c r="H42" s="27"/>
      <c r="I42" s="26"/>
      <c r="J42" s="26"/>
    </row>
    <row r="43" customFormat="false" ht="15" hidden="false" customHeight="false" outlineLevel="0" collapsed="false">
      <c r="A43" s="22" t="n">
        <v>42</v>
      </c>
      <c r="B43" s="27"/>
      <c r="C43" s="26"/>
      <c r="D43" s="26"/>
      <c r="E43" s="26"/>
      <c r="F43" s="26"/>
      <c r="G43" s="26"/>
      <c r="H43" s="27"/>
      <c r="I43" s="26"/>
      <c r="J43" s="26"/>
    </row>
    <row r="44" customFormat="false" ht="15" hidden="false" customHeight="false" outlineLevel="0" collapsed="false">
      <c r="A44" s="22" t="n">
        <v>43</v>
      </c>
      <c r="B44" s="27"/>
      <c r="C44" s="26"/>
      <c r="D44" s="26"/>
      <c r="E44" s="26"/>
      <c r="F44" s="26"/>
      <c r="G44" s="26"/>
      <c r="H44" s="27"/>
      <c r="I44" s="26"/>
      <c r="J44" s="26"/>
    </row>
    <row r="45" customFormat="false" ht="15" hidden="false" customHeight="false" outlineLevel="0" collapsed="false">
      <c r="A45" s="22" t="n">
        <v>44</v>
      </c>
      <c r="B45" s="27"/>
      <c r="C45" s="26"/>
      <c r="D45" s="26"/>
      <c r="E45" s="26"/>
      <c r="F45" s="26"/>
      <c r="G45" s="26"/>
      <c r="H45" s="27"/>
      <c r="I45" s="26"/>
      <c r="J45" s="26"/>
    </row>
    <row r="46" customFormat="false" ht="15" hidden="false" customHeight="false" outlineLevel="0" collapsed="false">
      <c r="A46" s="22" t="n">
        <v>45</v>
      </c>
      <c r="B46" s="27"/>
      <c r="C46" s="26"/>
      <c r="D46" s="26"/>
      <c r="E46" s="26"/>
      <c r="F46" s="26"/>
      <c r="G46" s="26"/>
      <c r="H46" s="27"/>
      <c r="I46" s="26"/>
      <c r="J46" s="26"/>
    </row>
    <row r="47" customFormat="false" ht="15" hidden="false" customHeight="false" outlineLevel="0" collapsed="false">
      <c r="A47" s="22" t="n">
        <v>46</v>
      </c>
      <c r="B47" s="27"/>
      <c r="C47" s="26"/>
      <c r="D47" s="26"/>
      <c r="E47" s="26"/>
      <c r="F47" s="26"/>
      <c r="G47" s="26"/>
      <c r="H47" s="27"/>
      <c r="I47" s="26"/>
      <c r="J47" s="26"/>
    </row>
    <row r="48" customFormat="false" ht="15" hidden="false" customHeight="false" outlineLevel="0" collapsed="false">
      <c r="A48" s="22" t="n">
        <v>47</v>
      </c>
      <c r="B48" s="27"/>
      <c r="C48" s="26"/>
      <c r="D48" s="26"/>
      <c r="E48" s="26"/>
      <c r="F48" s="26"/>
      <c r="G48" s="26"/>
      <c r="H48" s="27"/>
      <c r="I48" s="26"/>
      <c r="J48" s="26"/>
    </row>
    <row r="49" customFormat="false" ht="15" hidden="false" customHeight="false" outlineLevel="0" collapsed="false">
      <c r="A49" s="22" t="n">
        <v>48</v>
      </c>
      <c r="B49" s="27"/>
      <c r="C49" s="26"/>
      <c r="D49" s="26"/>
      <c r="E49" s="26"/>
      <c r="F49" s="26"/>
      <c r="G49" s="26"/>
      <c r="H49" s="27"/>
      <c r="I49" s="26"/>
      <c r="J49" s="26"/>
    </row>
    <row r="50" customFormat="false" ht="15" hidden="false" customHeight="false" outlineLevel="0" collapsed="false">
      <c r="A50" s="22" t="n">
        <v>49</v>
      </c>
      <c r="B50" s="27"/>
      <c r="C50" s="26"/>
      <c r="D50" s="26"/>
      <c r="E50" s="26"/>
      <c r="F50" s="26"/>
      <c r="G50" s="26"/>
      <c r="H50" s="27"/>
      <c r="I50" s="26"/>
      <c r="J50" s="26"/>
    </row>
    <row r="51" customFormat="false" ht="15" hidden="false" customHeight="false" outlineLevel="0" collapsed="false">
      <c r="A51" s="22" t="n">
        <v>50</v>
      </c>
      <c r="B51" s="27"/>
      <c r="C51" s="26"/>
      <c r="D51" s="26"/>
      <c r="E51" s="26"/>
      <c r="F51" s="26"/>
      <c r="G51" s="26"/>
      <c r="H51" s="27"/>
      <c r="I51" s="26"/>
      <c r="J51" s="26"/>
    </row>
    <row r="52" customFormat="false" ht="15" hidden="false" customHeight="false" outlineLevel="0" collapsed="false">
      <c r="A52" s="22" t="n">
        <v>51</v>
      </c>
      <c r="B52" s="27"/>
      <c r="C52" s="26"/>
      <c r="D52" s="26"/>
      <c r="E52" s="26"/>
      <c r="F52" s="26"/>
      <c r="G52" s="26"/>
      <c r="H52" s="27"/>
      <c r="I52" s="26"/>
      <c r="J52" s="26"/>
    </row>
    <row r="53" customFormat="false" ht="15" hidden="false" customHeight="false" outlineLevel="0" collapsed="false">
      <c r="A53" s="22" t="n">
        <v>52</v>
      </c>
      <c r="B53" s="27"/>
      <c r="C53" s="26"/>
      <c r="D53" s="26"/>
      <c r="E53" s="26"/>
      <c r="F53" s="26"/>
      <c r="G53" s="26"/>
      <c r="H53" s="27"/>
      <c r="I53" s="26"/>
      <c r="J53" s="26"/>
    </row>
    <row r="54" customFormat="false" ht="15" hidden="false" customHeight="false" outlineLevel="0" collapsed="false">
      <c r="A54" s="22" t="n">
        <v>53</v>
      </c>
      <c r="B54" s="27"/>
      <c r="C54" s="26"/>
      <c r="D54" s="26"/>
      <c r="E54" s="26"/>
      <c r="F54" s="26"/>
      <c r="G54" s="26"/>
      <c r="H54" s="27"/>
      <c r="I54" s="26"/>
      <c r="J54" s="26"/>
    </row>
    <row r="55" customFormat="false" ht="15" hidden="false" customHeight="false" outlineLevel="0" collapsed="false">
      <c r="A55" s="22" t="n">
        <v>54</v>
      </c>
      <c r="B55" s="27"/>
      <c r="C55" s="26"/>
      <c r="D55" s="26"/>
      <c r="E55" s="26"/>
      <c r="F55" s="26"/>
      <c r="G55" s="26"/>
      <c r="H55" s="27"/>
      <c r="I55" s="26"/>
      <c r="J55" s="26"/>
    </row>
    <row r="56" customFormat="false" ht="15" hidden="false" customHeight="false" outlineLevel="0" collapsed="false">
      <c r="A56" s="22" t="n">
        <v>55</v>
      </c>
      <c r="B56" s="27"/>
      <c r="C56" s="26"/>
      <c r="D56" s="26"/>
      <c r="E56" s="26"/>
      <c r="F56" s="26"/>
      <c r="G56" s="26"/>
      <c r="H56" s="27"/>
      <c r="I56" s="26"/>
      <c r="J56" s="26"/>
    </row>
    <row r="57" customFormat="false" ht="15" hidden="false" customHeight="false" outlineLevel="0" collapsed="false">
      <c r="A57" s="22" t="n">
        <v>56</v>
      </c>
      <c r="B57" s="27"/>
      <c r="C57" s="26"/>
      <c r="D57" s="26"/>
      <c r="E57" s="26"/>
      <c r="F57" s="26"/>
      <c r="G57" s="26"/>
      <c r="H57" s="27"/>
      <c r="I57" s="26"/>
      <c r="J57" s="26"/>
    </row>
    <row r="58" customFormat="false" ht="15" hidden="false" customHeight="false" outlineLevel="0" collapsed="false">
      <c r="A58" s="22" t="n">
        <v>57</v>
      </c>
      <c r="B58" s="27"/>
      <c r="C58" s="26"/>
      <c r="D58" s="26"/>
      <c r="E58" s="26"/>
      <c r="F58" s="26"/>
      <c r="G58" s="26"/>
      <c r="H58" s="27"/>
      <c r="I58" s="26"/>
      <c r="J58" s="26"/>
    </row>
    <row r="59" customFormat="false" ht="15" hidden="false" customHeight="false" outlineLevel="0" collapsed="false">
      <c r="A59" s="22" t="n">
        <v>58</v>
      </c>
      <c r="B59" s="27"/>
      <c r="C59" s="26"/>
      <c r="D59" s="26"/>
      <c r="E59" s="26"/>
      <c r="F59" s="26"/>
      <c r="G59" s="26"/>
      <c r="H59" s="27"/>
      <c r="I59" s="26"/>
      <c r="J59" s="26"/>
    </row>
    <row r="60" customFormat="false" ht="15" hidden="false" customHeight="false" outlineLevel="0" collapsed="false">
      <c r="A60" s="22" t="n">
        <v>59</v>
      </c>
      <c r="B60" s="27"/>
      <c r="C60" s="26"/>
      <c r="D60" s="26"/>
      <c r="E60" s="26"/>
      <c r="F60" s="26"/>
      <c r="G60" s="26"/>
      <c r="H60" s="27"/>
      <c r="I60" s="26"/>
      <c r="J60" s="26"/>
    </row>
    <row r="61" customFormat="false" ht="15" hidden="false" customHeight="false" outlineLevel="0" collapsed="false">
      <c r="A61" s="22" t="n">
        <v>60</v>
      </c>
      <c r="B61" s="27"/>
      <c r="C61" s="26"/>
      <c r="D61" s="26"/>
      <c r="E61" s="26"/>
      <c r="F61" s="26"/>
      <c r="G61" s="26"/>
      <c r="H61" s="27"/>
      <c r="I61" s="26"/>
      <c r="J61" s="26"/>
    </row>
    <row r="62" customFormat="false" ht="15" hidden="false" customHeight="false" outlineLevel="0" collapsed="false">
      <c r="A62" s="22" t="n">
        <v>61</v>
      </c>
      <c r="B62" s="27"/>
      <c r="C62" s="26"/>
      <c r="D62" s="26"/>
      <c r="E62" s="26"/>
      <c r="F62" s="26"/>
      <c r="G62" s="26"/>
      <c r="H62" s="27"/>
      <c r="I62" s="26"/>
      <c r="J62" s="26"/>
    </row>
    <row r="63" customFormat="false" ht="15" hidden="false" customHeight="false" outlineLevel="0" collapsed="false">
      <c r="A63" s="22" t="n">
        <v>62</v>
      </c>
      <c r="B63" s="27"/>
      <c r="C63" s="26"/>
      <c r="D63" s="26"/>
      <c r="E63" s="26"/>
      <c r="F63" s="26"/>
      <c r="G63" s="26"/>
      <c r="H63" s="27"/>
      <c r="I63" s="26"/>
      <c r="J63" s="26"/>
    </row>
    <row r="64" customFormat="false" ht="15" hidden="false" customHeight="false" outlineLevel="0" collapsed="false">
      <c r="A64" s="22" t="n">
        <v>63</v>
      </c>
      <c r="B64" s="27"/>
      <c r="C64" s="26"/>
      <c r="D64" s="26"/>
      <c r="E64" s="26"/>
      <c r="F64" s="26"/>
      <c r="G64" s="26"/>
      <c r="H64" s="27"/>
      <c r="I64" s="26"/>
      <c r="J64" s="26"/>
    </row>
    <row r="65" customFormat="false" ht="15" hidden="false" customHeight="false" outlineLevel="0" collapsed="false">
      <c r="A65" s="22" t="n">
        <v>64</v>
      </c>
      <c r="B65" s="27"/>
      <c r="C65" s="26"/>
      <c r="D65" s="26"/>
      <c r="E65" s="26"/>
      <c r="F65" s="26"/>
      <c r="G65" s="26"/>
      <c r="H65" s="27"/>
      <c r="I65" s="26"/>
      <c r="J65" s="26"/>
    </row>
    <row r="66" customFormat="false" ht="15" hidden="false" customHeight="false" outlineLevel="0" collapsed="false">
      <c r="A66" s="22" t="n">
        <v>65</v>
      </c>
      <c r="B66" s="27"/>
      <c r="C66" s="26"/>
      <c r="D66" s="26"/>
      <c r="E66" s="26"/>
      <c r="F66" s="26"/>
      <c r="G66" s="26"/>
      <c r="H66" s="27"/>
      <c r="I66" s="26"/>
      <c r="J66" s="26"/>
    </row>
    <row r="67" customFormat="false" ht="15" hidden="false" customHeight="false" outlineLevel="0" collapsed="false">
      <c r="A67" s="22" t="n">
        <v>66</v>
      </c>
      <c r="B67" s="27"/>
      <c r="C67" s="26"/>
      <c r="D67" s="26"/>
      <c r="E67" s="26"/>
      <c r="F67" s="26"/>
      <c r="G67" s="26"/>
      <c r="H67" s="27"/>
      <c r="I67" s="26"/>
      <c r="J67" s="26"/>
    </row>
    <row r="68" customFormat="false" ht="15" hidden="false" customHeight="false" outlineLevel="0" collapsed="false">
      <c r="A68" s="22" t="n">
        <v>67</v>
      </c>
      <c r="B68" s="27"/>
      <c r="C68" s="26"/>
      <c r="D68" s="26"/>
      <c r="E68" s="26"/>
      <c r="F68" s="26"/>
      <c r="G68" s="26"/>
      <c r="H68" s="27"/>
      <c r="I68" s="26"/>
      <c r="J68" s="26"/>
    </row>
    <row r="69" customFormat="false" ht="15" hidden="false" customHeight="false" outlineLevel="0" collapsed="false">
      <c r="A69" s="22" t="n">
        <v>68</v>
      </c>
      <c r="B69" s="27"/>
      <c r="C69" s="26"/>
      <c r="D69" s="26"/>
      <c r="E69" s="26"/>
      <c r="F69" s="26"/>
      <c r="G69" s="26"/>
      <c r="H69" s="27"/>
      <c r="I69" s="26"/>
      <c r="J69" s="26"/>
    </row>
    <row r="70" customFormat="false" ht="15" hidden="false" customHeight="false" outlineLevel="0" collapsed="false">
      <c r="A70" s="22" t="n">
        <v>69</v>
      </c>
      <c r="B70" s="27"/>
      <c r="C70" s="26"/>
      <c r="D70" s="26"/>
      <c r="E70" s="26"/>
      <c r="F70" s="26"/>
      <c r="G70" s="26"/>
      <c r="H70" s="27"/>
      <c r="I70" s="26"/>
      <c r="J70" s="26"/>
    </row>
    <row r="71" customFormat="false" ht="15" hidden="false" customHeight="false" outlineLevel="0" collapsed="false">
      <c r="A71" s="22" t="n">
        <v>70</v>
      </c>
      <c r="B71" s="27"/>
      <c r="C71" s="26"/>
      <c r="D71" s="26"/>
      <c r="E71" s="26"/>
      <c r="F71" s="26"/>
      <c r="G71" s="26"/>
      <c r="H71" s="27"/>
      <c r="I71" s="26"/>
      <c r="J71" s="26"/>
    </row>
    <row r="72" customFormat="false" ht="15" hidden="false" customHeight="false" outlineLevel="0" collapsed="false">
      <c r="A72" s="22" t="n">
        <v>71</v>
      </c>
      <c r="B72" s="27"/>
      <c r="C72" s="26"/>
      <c r="D72" s="26"/>
      <c r="E72" s="26"/>
      <c r="F72" s="26"/>
      <c r="G72" s="26"/>
      <c r="H72" s="27"/>
      <c r="I72" s="26"/>
      <c r="J72" s="26"/>
    </row>
    <row r="73" customFormat="false" ht="15" hidden="false" customHeight="false" outlineLevel="0" collapsed="false">
      <c r="A73" s="22" t="n">
        <v>72</v>
      </c>
      <c r="B73" s="27"/>
      <c r="C73" s="26"/>
      <c r="D73" s="26"/>
      <c r="E73" s="26"/>
      <c r="F73" s="26"/>
      <c r="G73" s="26"/>
      <c r="H73" s="27"/>
      <c r="I73" s="26"/>
      <c r="J73" s="26"/>
    </row>
    <row r="74" customFormat="false" ht="15" hidden="false" customHeight="false" outlineLevel="0" collapsed="false">
      <c r="A74" s="22" t="n">
        <v>73</v>
      </c>
      <c r="B74" s="27"/>
      <c r="C74" s="26"/>
      <c r="D74" s="26"/>
      <c r="E74" s="26"/>
      <c r="F74" s="26"/>
      <c r="G74" s="26"/>
      <c r="H74" s="27"/>
      <c r="I74" s="26"/>
      <c r="J74" s="26"/>
    </row>
    <row r="75" customFormat="false" ht="15" hidden="false" customHeight="false" outlineLevel="0" collapsed="false">
      <c r="A75" s="22" t="n">
        <v>74</v>
      </c>
      <c r="B75" s="27"/>
      <c r="C75" s="26"/>
      <c r="D75" s="26"/>
      <c r="E75" s="26"/>
      <c r="F75" s="26"/>
      <c r="G75" s="26"/>
      <c r="H75" s="27"/>
      <c r="I75" s="26"/>
      <c r="J75" s="26"/>
    </row>
    <row r="76" customFormat="false" ht="15" hidden="false" customHeight="false" outlineLevel="0" collapsed="false">
      <c r="A76" s="22" t="n">
        <v>75</v>
      </c>
      <c r="B76" s="27"/>
      <c r="C76" s="26"/>
      <c r="D76" s="26"/>
      <c r="E76" s="26"/>
      <c r="F76" s="26"/>
      <c r="G76" s="26"/>
      <c r="H76" s="27"/>
      <c r="I76" s="26"/>
      <c r="J76" s="26"/>
    </row>
    <row r="77" customFormat="false" ht="15" hidden="false" customHeight="false" outlineLevel="0" collapsed="false">
      <c r="A77" s="22" t="n">
        <v>76</v>
      </c>
      <c r="B77" s="27"/>
      <c r="C77" s="26"/>
      <c r="D77" s="26"/>
      <c r="E77" s="26"/>
      <c r="F77" s="26"/>
      <c r="G77" s="26"/>
      <c r="H77" s="27"/>
      <c r="I77" s="26"/>
      <c r="J77" s="26"/>
    </row>
    <row r="78" customFormat="false" ht="15" hidden="false" customHeight="false" outlineLevel="0" collapsed="false">
      <c r="A78" s="22" t="n">
        <v>77</v>
      </c>
      <c r="B78" s="27"/>
      <c r="C78" s="26"/>
      <c r="D78" s="26"/>
      <c r="E78" s="26"/>
      <c r="F78" s="26"/>
      <c r="G78" s="26"/>
      <c r="H78" s="27"/>
      <c r="I78" s="26"/>
      <c r="J78" s="26"/>
    </row>
    <row r="79" customFormat="false" ht="15" hidden="false" customHeight="false" outlineLevel="0" collapsed="false">
      <c r="A79" s="22" t="n">
        <v>78</v>
      </c>
      <c r="B79" s="27"/>
      <c r="C79" s="26"/>
      <c r="D79" s="26"/>
      <c r="E79" s="26"/>
      <c r="F79" s="26"/>
      <c r="G79" s="26"/>
      <c r="H79" s="27"/>
      <c r="I79" s="26"/>
      <c r="J79" s="26"/>
    </row>
    <row r="80" customFormat="false" ht="15" hidden="false" customHeight="false" outlineLevel="0" collapsed="false">
      <c r="A80" s="22" t="n">
        <v>79</v>
      </c>
      <c r="B80" s="27"/>
      <c r="C80" s="26"/>
      <c r="D80" s="26"/>
      <c r="E80" s="26"/>
      <c r="F80" s="26"/>
      <c r="G80" s="26"/>
      <c r="H80" s="27"/>
      <c r="I80" s="26"/>
      <c r="J80" s="26"/>
    </row>
    <row r="81" customFormat="false" ht="15" hidden="false" customHeight="false" outlineLevel="0" collapsed="false">
      <c r="A81" s="22" t="n">
        <v>80</v>
      </c>
      <c r="B81" s="27"/>
      <c r="C81" s="26"/>
      <c r="D81" s="26"/>
      <c r="E81" s="26"/>
      <c r="F81" s="26"/>
      <c r="G81" s="26"/>
      <c r="H81" s="27"/>
      <c r="I81" s="26"/>
      <c r="J81" s="26"/>
    </row>
    <row r="82" customFormat="false" ht="15" hidden="false" customHeight="false" outlineLevel="0" collapsed="false">
      <c r="A82" s="22" t="n">
        <v>81</v>
      </c>
      <c r="B82" s="27"/>
      <c r="C82" s="26"/>
      <c r="D82" s="26"/>
      <c r="E82" s="26"/>
      <c r="F82" s="26"/>
      <c r="G82" s="26"/>
      <c r="H82" s="27"/>
      <c r="I82" s="26"/>
      <c r="J82" s="26"/>
    </row>
    <row r="83" customFormat="false" ht="15" hidden="false" customHeight="false" outlineLevel="0" collapsed="false">
      <c r="A83" s="22" t="n">
        <v>82</v>
      </c>
      <c r="B83" s="27"/>
      <c r="C83" s="26"/>
      <c r="D83" s="26"/>
      <c r="E83" s="26"/>
      <c r="F83" s="26"/>
      <c r="G83" s="26"/>
      <c r="H83" s="27"/>
      <c r="I83" s="26"/>
      <c r="J83" s="26"/>
    </row>
    <row r="84" customFormat="false" ht="15" hidden="false" customHeight="false" outlineLevel="0" collapsed="false">
      <c r="A84" s="22" t="n">
        <v>83</v>
      </c>
      <c r="B84" s="27"/>
      <c r="C84" s="26"/>
      <c r="D84" s="26"/>
      <c r="E84" s="26"/>
      <c r="F84" s="26"/>
      <c r="G84" s="26"/>
      <c r="H84" s="27"/>
      <c r="I84" s="26"/>
      <c r="J84" s="26"/>
    </row>
    <row r="85" customFormat="false" ht="15" hidden="false" customHeight="false" outlineLevel="0" collapsed="false">
      <c r="A85" s="22" t="n">
        <v>84</v>
      </c>
      <c r="B85" s="27"/>
      <c r="C85" s="26"/>
      <c r="D85" s="26"/>
      <c r="E85" s="26"/>
      <c r="F85" s="26"/>
      <c r="G85" s="26"/>
      <c r="H85" s="27"/>
      <c r="I85" s="26"/>
      <c r="J85" s="26"/>
    </row>
    <row r="86" customFormat="false" ht="15" hidden="false" customHeight="false" outlineLevel="0" collapsed="false">
      <c r="A86" s="22" t="n">
        <v>85</v>
      </c>
      <c r="B86" s="27"/>
      <c r="C86" s="26"/>
      <c r="D86" s="26"/>
      <c r="E86" s="26"/>
      <c r="F86" s="26"/>
      <c r="G86" s="26"/>
      <c r="H86" s="27"/>
      <c r="I86" s="26"/>
      <c r="J86" s="26"/>
    </row>
    <row r="87" customFormat="false" ht="15" hidden="false" customHeight="false" outlineLevel="0" collapsed="false">
      <c r="A87" s="22" t="n">
        <v>86</v>
      </c>
      <c r="B87" s="27"/>
      <c r="C87" s="26"/>
      <c r="D87" s="26"/>
      <c r="E87" s="26"/>
      <c r="F87" s="26"/>
      <c r="G87" s="26"/>
      <c r="H87" s="27"/>
      <c r="I87" s="26"/>
      <c r="J87" s="26"/>
    </row>
    <row r="88" customFormat="false" ht="15" hidden="false" customHeight="false" outlineLevel="0" collapsed="false">
      <c r="A88" s="22" t="n">
        <v>87</v>
      </c>
      <c r="B88" s="27"/>
      <c r="C88" s="26"/>
      <c r="D88" s="26"/>
      <c r="E88" s="26"/>
      <c r="F88" s="26"/>
      <c r="G88" s="26"/>
      <c r="H88" s="27"/>
      <c r="I88" s="26"/>
      <c r="J88" s="26"/>
    </row>
    <row r="89" customFormat="false" ht="15" hidden="false" customHeight="false" outlineLevel="0" collapsed="false">
      <c r="A89" s="22" t="n">
        <v>88</v>
      </c>
      <c r="B89" s="27"/>
      <c r="C89" s="26"/>
      <c r="D89" s="26"/>
      <c r="E89" s="26"/>
      <c r="F89" s="26"/>
      <c r="G89" s="26"/>
      <c r="H89" s="27"/>
      <c r="I89" s="26"/>
      <c r="J89" s="26"/>
    </row>
    <row r="90" customFormat="false" ht="15" hidden="false" customHeight="false" outlineLevel="0" collapsed="false">
      <c r="A90" s="22" t="n">
        <v>89</v>
      </c>
      <c r="B90" s="27"/>
      <c r="C90" s="26"/>
      <c r="D90" s="26"/>
      <c r="E90" s="26"/>
      <c r="F90" s="26"/>
      <c r="G90" s="26"/>
      <c r="H90" s="27"/>
      <c r="I90" s="26"/>
      <c r="J90" s="26"/>
    </row>
    <row r="91" customFormat="false" ht="15" hidden="false" customHeight="false" outlineLevel="0" collapsed="false">
      <c r="A91" s="22" t="n">
        <v>90</v>
      </c>
      <c r="B91" s="27"/>
      <c r="C91" s="26"/>
      <c r="D91" s="26"/>
      <c r="E91" s="26"/>
      <c r="F91" s="26"/>
      <c r="G91" s="26"/>
      <c r="H91" s="27"/>
      <c r="I91" s="26"/>
      <c r="J91" s="26"/>
    </row>
    <row r="92" customFormat="false" ht="15" hidden="false" customHeight="false" outlineLevel="0" collapsed="false">
      <c r="A92" s="22" t="n">
        <v>91</v>
      </c>
      <c r="B92" s="27"/>
      <c r="C92" s="26"/>
      <c r="D92" s="26"/>
      <c r="E92" s="26"/>
      <c r="F92" s="26"/>
      <c r="G92" s="26"/>
      <c r="H92" s="27"/>
      <c r="I92" s="26"/>
      <c r="J92" s="26"/>
    </row>
    <row r="93" customFormat="false" ht="15" hidden="false" customHeight="false" outlineLevel="0" collapsed="false">
      <c r="A93" s="22" t="n">
        <v>92</v>
      </c>
      <c r="B93" s="27"/>
      <c r="C93" s="26"/>
      <c r="D93" s="26"/>
      <c r="E93" s="26"/>
      <c r="F93" s="26"/>
      <c r="G93" s="26"/>
      <c r="H93" s="27"/>
      <c r="I93" s="26"/>
      <c r="J93" s="26"/>
    </row>
    <row r="94" customFormat="false" ht="15" hidden="false" customHeight="false" outlineLevel="0" collapsed="false">
      <c r="A94" s="22" t="n">
        <v>93</v>
      </c>
      <c r="B94" s="27"/>
      <c r="C94" s="26"/>
      <c r="D94" s="26"/>
      <c r="E94" s="26"/>
      <c r="F94" s="26"/>
      <c r="G94" s="26"/>
      <c r="H94" s="27"/>
      <c r="I94" s="26"/>
      <c r="J94" s="26"/>
    </row>
    <row r="95" customFormat="false" ht="15" hidden="false" customHeight="false" outlineLevel="0" collapsed="false">
      <c r="A95" s="22" t="n">
        <v>94</v>
      </c>
      <c r="B95" s="27"/>
      <c r="C95" s="26"/>
      <c r="D95" s="26"/>
      <c r="E95" s="26"/>
      <c r="F95" s="26"/>
      <c r="G95" s="26"/>
      <c r="H95" s="27"/>
      <c r="I95" s="26"/>
      <c r="J95" s="26"/>
    </row>
    <row r="96" customFormat="false" ht="15" hidden="false" customHeight="false" outlineLevel="0" collapsed="false">
      <c r="A96" s="22" t="n">
        <v>95</v>
      </c>
      <c r="B96" s="27"/>
      <c r="C96" s="26"/>
      <c r="D96" s="26"/>
      <c r="E96" s="26"/>
      <c r="F96" s="26"/>
      <c r="G96" s="26"/>
      <c r="H96" s="27"/>
      <c r="I96" s="26"/>
      <c r="J96" s="26"/>
    </row>
    <row r="97" customFormat="false" ht="15" hidden="false" customHeight="false" outlineLevel="0" collapsed="false">
      <c r="A97" s="22" t="n">
        <v>96</v>
      </c>
      <c r="B97" s="27"/>
      <c r="C97" s="26"/>
      <c r="D97" s="26"/>
      <c r="E97" s="26"/>
      <c r="F97" s="26"/>
      <c r="G97" s="26"/>
      <c r="H97" s="27"/>
      <c r="I97" s="26"/>
      <c r="J97" s="26"/>
    </row>
    <row r="98" customFormat="false" ht="15" hidden="false" customHeight="false" outlineLevel="0" collapsed="false">
      <c r="A98" s="22" t="n">
        <v>97</v>
      </c>
      <c r="B98" s="27"/>
      <c r="C98" s="26"/>
      <c r="D98" s="26"/>
      <c r="E98" s="26"/>
      <c r="F98" s="26"/>
      <c r="G98" s="26"/>
      <c r="H98" s="27"/>
      <c r="I98" s="26"/>
      <c r="J98" s="26"/>
    </row>
    <row r="99" customFormat="false" ht="15" hidden="false" customHeight="false" outlineLevel="0" collapsed="false">
      <c r="A99" s="22" t="n">
        <v>98</v>
      </c>
      <c r="B99" s="27"/>
      <c r="C99" s="26"/>
      <c r="D99" s="26"/>
      <c r="E99" s="26"/>
      <c r="F99" s="26"/>
      <c r="G99" s="26"/>
      <c r="H99" s="27"/>
      <c r="I99" s="26"/>
      <c r="J99" s="26"/>
    </row>
    <row r="100" customFormat="false" ht="15" hidden="false" customHeight="false" outlineLevel="0" collapsed="false">
      <c r="A100" s="22" t="n">
        <v>99</v>
      </c>
      <c r="B100" s="27"/>
      <c r="C100" s="26"/>
      <c r="D100" s="26"/>
      <c r="E100" s="26"/>
      <c r="F100" s="26"/>
      <c r="G100" s="26"/>
      <c r="H100" s="27"/>
      <c r="I100" s="26"/>
      <c r="J100" s="26"/>
    </row>
    <row r="101" customFormat="false" ht="15" hidden="false" customHeight="false" outlineLevel="0" collapsed="false">
      <c r="A101" s="22" t="n">
        <v>100</v>
      </c>
      <c r="B101" s="27"/>
      <c r="C101" s="26"/>
      <c r="D101" s="26"/>
      <c r="E101" s="26"/>
      <c r="F101" s="26"/>
      <c r="G101" s="26"/>
      <c r="H101" s="27"/>
      <c r="I101" s="26"/>
      <c r="J101" s="26"/>
    </row>
  </sheetData>
  <autoFilter ref="A1:J101"/>
  <conditionalFormatting sqref="F2:F101">
    <cfRule type="cellIs" priority="2" operator="equal" aboveAverage="0" equalAverage="0" bottom="0" percent="0" rank="0" text="" dxfId="6">
      <formula>"High"</formula>
    </cfRule>
  </conditionalFormatting>
  <dataValidations count="5">
    <dataValidation allowBlank="true" errorStyle="stop" operator="between" showDropDown="false" showErrorMessage="false" showInputMessage="false" sqref="C2:C101" type="list">
      <formula1>"Python,Django &amp; DRF,FastAPI,Databases &amp; SQL,Advanced Backend,Docker,Cloud &amp; CI/CD,DSA,System Design,Communication"</formula1>
      <formula2>0</formula2>
    </dataValidation>
    <dataValidation allowBlank="true" errorStyle="stop" operator="between" showDropDown="false" showErrorMessage="false" showInputMessage="false" sqref="E2:E101" type="list">
      <formula1>"Baseline,Weekly test,Assessment,Mock interview,Real interview,Project"</formula1>
      <formula2>0</formula2>
    </dataValidation>
    <dataValidation allowBlank="true" errorStyle="stop" operator="between" showDropDown="false" showErrorMessage="false" showInputMessage="false" sqref="F2:F101" type="list">
      <formula1>"High,Medium,Low"</formula1>
      <formula2>0</formula2>
    </dataValidation>
    <dataValidation allowBlank="true" errorStyle="stop" operator="between" showDropDown="false" showErrorMessage="false" showInputMessage="false" sqref="I2:I101" type="list">
      <formula1>"Open,In progress,Fixed"</formula1>
      <formula2>0</formula2>
    </dataValidation>
    <dataValidation allowBlank="true" errorStyle="stop" operator="between" showDropDown="false" showErrorMessage="false" showInputMessage="false" sqref="J2:J101" type="list">
      <formula1>"Passed,Failed,Not retested"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6" min="2" style="0" width="11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3" min="12" style="0" width="34"/>
    <col collapsed="false" customWidth="true" hidden="false" outlineLevel="0" max="14" min="14" style="0" width="38"/>
  </cols>
  <sheetData>
    <row r="1" customFormat="false" ht="33.75" hidden="false" customHeight="true" outlineLevel="0" collapsed="false">
      <c r="A1" s="21" t="s">
        <v>930</v>
      </c>
      <c r="B1" s="21" t="s">
        <v>931</v>
      </c>
      <c r="C1" s="21" t="s">
        <v>932</v>
      </c>
      <c r="D1" s="21" t="s">
        <v>933</v>
      </c>
      <c r="E1" s="21" t="s">
        <v>934</v>
      </c>
      <c r="F1" s="21" t="s">
        <v>935</v>
      </c>
      <c r="G1" s="21" t="s">
        <v>936</v>
      </c>
      <c r="H1" s="21" t="s">
        <v>548</v>
      </c>
      <c r="I1" s="21" t="s">
        <v>937</v>
      </c>
      <c r="J1" s="21" t="s">
        <v>79</v>
      </c>
      <c r="K1" s="21" t="s">
        <v>938</v>
      </c>
      <c r="L1" s="21" t="s">
        <v>939</v>
      </c>
      <c r="M1" s="21" t="s">
        <v>940</v>
      </c>
      <c r="N1" s="21" t="s">
        <v>941</v>
      </c>
    </row>
    <row r="2" customFormat="false" ht="15" hidden="false" customHeight="false" outlineLevel="0" collapsed="false">
      <c r="A2" s="22" t="n">
        <v>1</v>
      </c>
      <c r="B2" s="25" t="n">
        <f aca="false">'Learning Dashboard'!$B$3+0</f>
        <v>46311</v>
      </c>
      <c r="C2" s="25" t="n">
        <f aca="false">'Learning Dashboard'!$B$3+6</f>
        <v>46317</v>
      </c>
      <c r="D2" s="22" t="n">
        <f aca="false">COUNTIFS('60-Day Plan'!$A$2:$A$61,"&gt;=1",'60-Day Plan'!$A$2:$A$61,"&lt;=7",'60-Day Plan'!$N$2:$N$61,"Completed")</f>
        <v>0</v>
      </c>
      <c r="E2" s="22" t="n">
        <v>7</v>
      </c>
      <c r="F2" s="24" t="str">
        <f aca="false">IFERROR(AVERAGEIFS('60-Day Plan'!$O$2:$O$61,'60-Day Plan'!$A$2:$A$61,"&gt;=1",'60-Day Plan'!$A$2:$A$61,"&lt;=7"),"")</f>
        <v/>
      </c>
      <c r="G2" s="36"/>
      <c r="H2" s="22" t="n">
        <f aca="false">COUNTIFS(Applications!$B$3:$B$300,"&gt;="&amp;B2,Applications!$B$3:$B$300,"&lt;="&amp;C2)</f>
        <v>0</v>
      </c>
      <c r="I2" s="22" t="n">
        <f aca="false">COUNTIFS(Outreach!$B$3:$B$300,"&gt;="&amp;B2,Outreach!$B$3:$B$300,"&lt;="&amp;C2)</f>
        <v>0</v>
      </c>
      <c r="J2" s="22" t="n">
        <f aca="false">COUNTIFS('DSA Log'!$B$3:$B$201,"&gt;="&amp;B2,'DSA Log'!$B$3:$B$201,"&lt;="&amp;C2)</f>
        <v>0</v>
      </c>
      <c r="K2" s="22" t="n">
        <f aca="false">COUNTIFS('Mock Interviews'!$B$3:$B$201,"&gt;="&amp;B2,'Mock Interviews'!$B$3:$B$201,"&lt;="&amp;C2)</f>
        <v>0</v>
      </c>
      <c r="L2" s="28"/>
      <c r="M2" s="28"/>
      <c r="N2" s="28"/>
    </row>
    <row r="3" customFormat="false" ht="15" hidden="false" customHeight="false" outlineLevel="0" collapsed="false">
      <c r="A3" s="22" t="n">
        <v>2</v>
      </c>
      <c r="B3" s="25" t="n">
        <f aca="false">'Learning Dashboard'!$B$3+7</f>
        <v>46318</v>
      </c>
      <c r="C3" s="25" t="n">
        <f aca="false">'Learning Dashboard'!$B$3+13</f>
        <v>46324</v>
      </c>
      <c r="D3" s="22" t="n">
        <f aca="false">COUNTIFS('60-Day Plan'!$A$2:$A$61,"&gt;=8",'60-Day Plan'!$A$2:$A$61,"&lt;=14",'60-Day Plan'!$N$2:$N$61,"Completed")</f>
        <v>0</v>
      </c>
      <c r="E3" s="22" t="n">
        <v>7</v>
      </c>
      <c r="F3" s="24" t="str">
        <f aca="false">IFERROR(AVERAGEIFS('60-Day Plan'!$O$2:$O$61,'60-Day Plan'!$A$2:$A$61,"&gt;=8",'60-Day Plan'!$A$2:$A$61,"&lt;=14"),"")</f>
        <v/>
      </c>
      <c r="G3" s="36"/>
      <c r="H3" s="22" t="n">
        <f aca="false">COUNTIFS(Applications!$B$3:$B$300,"&gt;="&amp;B3,Applications!$B$3:$B$300,"&lt;="&amp;C3)</f>
        <v>0</v>
      </c>
      <c r="I3" s="22" t="n">
        <f aca="false">COUNTIFS(Outreach!$B$3:$B$300,"&gt;="&amp;B3,Outreach!$B$3:$B$300,"&lt;="&amp;C3)</f>
        <v>0</v>
      </c>
      <c r="J3" s="22" t="n">
        <f aca="false">COUNTIFS('DSA Log'!$B$3:$B$201,"&gt;="&amp;B3,'DSA Log'!$B$3:$B$201,"&lt;="&amp;C3)</f>
        <v>0</v>
      </c>
      <c r="K3" s="22" t="n">
        <f aca="false">COUNTIFS('Mock Interviews'!$B$3:$B$201,"&gt;="&amp;B3,'Mock Interviews'!$B$3:$B$201,"&lt;="&amp;C3)</f>
        <v>0</v>
      </c>
      <c r="L3" s="28"/>
      <c r="M3" s="28"/>
      <c r="N3" s="28"/>
    </row>
    <row r="4" customFormat="false" ht="15" hidden="false" customHeight="false" outlineLevel="0" collapsed="false">
      <c r="A4" s="22" t="n">
        <v>3</v>
      </c>
      <c r="B4" s="25" t="n">
        <f aca="false">'Learning Dashboard'!$B$3+14</f>
        <v>46325</v>
      </c>
      <c r="C4" s="25" t="n">
        <f aca="false">'Learning Dashboard'!$B$3+20</f>
        <v>46331</v>
      </c>
      <c r="D4" s="22" t="n">
        <f aca="false">COUNTIFS('60-Day Plan'!$A$2:$A$61,"&gt;=15",'60-Day Plan'!$A$2:$A$61,"&lt;=21",'60-Day Plan'!$N$2:$N$61,"Completed")</f>
        <v>0</v>
      </c>
      <c r="E4" s="22" t="n">
        <v>7</v>
      </c>
      <c r="F4" s="24" t="str">
        <f aca="false">IFERROR(AVERAGEIFS('60-Day Plan'!$O$2:$O$61,'60-Day Plan'!$A$2:$A$61,"&gt;=15",'60-Day Plan'!$A$2:$A$61,"&lt;=21"),"")</f>
        <v/>
      </c>
      <c r="G4" s="36"/>
      <c r="H4" s="22" t="n">
        <f aca="false">COUNTIFS(Applications!$B$3:$B$300,"&gt;="&amp;B4,Applications!$B$3:$B$300,"&lt;="&amp;C4)</f>
        <v>0</v>
      </c>
      <c r="I4" s="22" t="n">
        <f aca="false">COUNTIFS(Outreach!$B$3:$B$300,"&gt;="&amp;B4,Outreach!$B$3:$B$300,"&lt;="&amp;C4)</f>
        <v>0</v>
      </c>
      <c r="J4" s="22" t="n">
        <f aca="false">COUNTIFS('DSA Log'!$B$3:$B$201,"&gt;="&amp;B4,'DSA Log'!$B$3:$B$201,"&lt;="&amp;C4)</f>
        <v>0</v>
      </c>
      <c r="K4" s="22" t="n">
        <f aca="false">COUNTIFS('Mock Interviews'!$B$3:$B$201,"&gt;="&amp;B4,'Mock Interviews'!$B$3:$B$201,"&lt;="&amp;C4)</f>
        <v>0</v>
      </c>
      <c r="L4" s="28"/>
      <c r="M4" s="28"/>
      <c r="N4" s="28"/>
    </row>
    <row r="5" customFormat="false" ht="15" hidden="false" customHeight="false" outlineLevel="0" collapsed="false">
      <c r="A5" s="22" t="n">
        <v>4</v>
      </c>
      <c r="B5" s="25" t="n">
        <f aca="false">'Learning Dashboard'!$B$3+21</f>
        <v>46332</v>
      </c>
      <c r="C5" s="25" t="n">
        <f aca="false">'Learning Dashboard'!$B$3+27</f>
        <v>46338</v>
      </c>
      <c r="D5" s="22" t="n">
        <f aca="false">COUNTIFS('60-Day Plan'!$A$2:$A$61,"&gt;=22",'60-Day Plan'!$A$2:$A$61,"&lt;=28",'60-Day Plan'!$N$2:$N$61,"Completed")</f>
        <v>0</v>
      </c>
      <c r="E5" s="22" t="n">
        <v>7</v>
      </c>
      <c r="F5" s="24" t="str">
        <f aca="false">IFERROR(AVERAGEIFS('60-Day Plan'!$O$2:$O$61,'60-Day Plan'!$A$2:$A$61,"&gt;=22",'60-Day Plan'!$A$2:$A$61,"&lt;=28"),"")</f>
        <v/>
      </c>
      <c r="G5" s="36"/>
      <c r="H5" s="22" t="n">
        <f aca="false">COUNTIFS(Applications!$B$3:$B$300,"&gt;="&amp;B5,Applications!$B$3:$B$300,"&lt;="&amp;C5)</f>
        <v>0</v>
      </c>
      <c r="I5" s="22" t="n">
        <f aca="false">COUNTIFS(Outreach!$B$3:$B$300,"&gt;="&amp;B5,Outreach!$B$3:$B$300,"&lt;="&amp;C5)</f>
        <v>0</v>
      </c>
      <c r="J5" s="22" t="n">
        <f aca="false">COUNTIFS('DSA Log'!$B$3:$B$201,"&gt;="&amp;B5,'DSA Log'!$B$3:$B$201,"&lt;="&amp;C5)</f>
        <v>0</v>
      </c>
      <c r="K5" s="22" t="n">
        <f aca="false">COUNTIFS('Mock Interviews'!$B$3:$B$201,"&gt;="&amp;B5,'Mock Interviews'!$B$3:$B$201,"&lt;="&amp;C5)</f>
        <v>0</v>
      </c>
      <c r="L5" s="28"/>
      <c r="M5" s="28"/>
      <c r="N5" s="28"/>
    </row>
    <row r="6" customFormat="false" ht="15" hidden="false" customHeight="false" outlineLevel="0" collapsed="false">
      <c r="A6" s="22" t="n">
        <v>5</v>
      </c>
      <c r="B6" s="25" t="n">
        <f aca="false">'Learning Dashboard'!$B$3+28</f>
        <v>46339</v>
      </c>
      <c r="C6" s="25" t="n">
        <f aca="false">'Learning Dashboard'!$B$3+34</f>
        <v>46345</v>
      </c>
      <c r="D6" s="22" t="n">
        <f aca="false">COUNTIFS('60-Day Plan'!$A$2:$A$61,"&gt;=29",'60-Day Plan'!$A$2:$A$61,"&lt;=35",'60-Day Plan'!$N$2:$N$61,"Completed")</f>
        <v>0</v>
      </c>
      <c r="E6" s="22" t="n">
        <v>7</v>
      </c>
      <c r="F6" s="24" t="str">
        <f aca="false">IFERROR(AVERAGEIFS('60-Day Plan'!$O$2:$O$61,'60-Day Plan'!$A$2:$A$61,"&gt;=29",'60-Day Plan'!$A$2:$A$61,"&lt;=35"),"")</f>
        <v/>
      </c>
      <c r="G6" s="36"/>
      <c r="H6" s="22" t="n">
        <f aca="false">COUNTIFS(Applications!$B$3:$B$300,"&gt;="&amp;B6,Applications!$B$3:$B$300,"&lt;="&amp;C6)</f>
        <v>0</v>
      </c>
      <c r="I6" s="22" t="n">
        <f aca="false">COUNTIFS(Outreach!$B$3:$B$300,"&gt;="&amp;B6,Outreach!$B$3:$B$300,"&lt;="&amp;C6)</f>
        <v>0</v>
      </c>
      <c r="J6" s="22" t="n">
        <f aca="false">COUNTIFS('DSA Log'!$B$3:$B$201,"&gt;="&amp;B6,'DSA Log'!$B$3:$B$201,"&lt;="&amp;C6)</f>
        <v>0</v>
      </c>
      <c r="K6" s="22" t="n">
        <f aca="false">COUNTIFS('Mock Interviews'!$B$3:$B$201,"&gt;="&amp;B6,'Mock Interviews'!$B$3:$B$201,"&lt;="&amp;C6)</f>
        <v>0</v>
      </c>
      <c r="L6" s="28"/>
      <c r="M6" s="28"/>
      <c r="N6" s="28"/>
    </row>
    <row r="7" customFormat="false" ht="15" hidden="false" customHeight="false" outlineLevel="0" collapsed="false">
      <c r="A7" s="22" t="n">
        <v>6</v>
      </c>
      <c r="B7" s="25" t="n">
        <f aca="false">'Learning Dashboard'!$B$3+35</f>
        <v>46346</v>
      </c>
      <c r="C7" s="25" t="n">
        <f aca="false">'Learning Dashboard'!$B$3+41</f>
        <v>46352</v>
      </c>
      <c r="D7" s="22" t="n">
        <f aca="false">COUNTIFS('60-Day Plan'!$A$2:$A$61,"&gt;=36",'60-Day Plan'!$A$2:$A$61,"&lt;=42",'60-Day Plan'!$N$2:$N$61,"Completed")</f>
        <v>0</v>
      </c>
      <c r="E7" s="22" t="n">
        <v>7</v>
      </c>
      <c r="F7" s="24" t="str">
        <f aca="false">IFERROR(AVERAGEIFS('60-Day Plan'!$O$2:$O$61,'60-Day Plan'!$A$2:$A$61,"&gt;=36",'60-Day Plan'!$A$2:$A$61,"&lt;=42"),"")</f>
        <v/>
      </c>
      <c r="G7" s="36"/>
      <c r="H7" s="22" t="n">
        <f aca="false">COUNTIFS(Applications!$B$3:$B$300,"&gt;="&amp;B7,Applications!$B$3:$B$300,"&lt;="&amp;C7)</f>
        <v>0</v>
      </c>
      <c r="I7" s="22" t="n">
        <f aca="false">COUNTIFS(Outreach!$B$3:$B$300,"&gt;="&amp;B7,Outreach!$B$3:$B$300,"&lt;="&amp;C7)</f>
        <v>0</v>
      </c>
      <c r="J7" s="22" t="n">
        <f aca="false">COUNTIFS('DSA Log'!$B$3:$B$201,"&gt;="&amp;B7,'DSA Log'!$B$3:$B$201,"&lt;="&amp;C7)</f>
        <v>0</v>
      </c>
      <c r="K7" s="22" t="n">
        <f aca="false">COUNTIFS('Mock Interviews'!$B$3:$B$201,"&gt;="&amp;B7,'Mock Interviews'!$B$3:$B$201,"&lt;="&amp;C7)</f>
        <v>0</v>
      </c>
      <c r="L7" s="28"/>
      <c r="M7" s="28"/>
      <c r="N7" s="28"/>
    </row>
    <row r="8" customFormat="false" ht="15" hidden="false" customHeight="false" outlineLevel="0" collapsed="false">
      <c r="A8" s="22" t="n">
        <v>7</v>
      </c>
      <c r="B8" s="25" t="n">
        <f aca="false">'Learning Dashboard'!$B$3+42</f>
        <v>46353</v>
      </c>
      <c r="C8" s="25" t="n">
        <f aca="false">'Learning Dashboard'!$B$3+48</f>
        <v>46359</v>
      </c>
      <c r="D8" s="22" t="n">
        <f aca="false">COUNTIFS('60-Day Plan'!$A$2:$A$61,"&gt;=43",'60-Day Plan'!$A$2:$A$61,"&lt;=49",'60-Day Plan'!$N$2:$N$61,"Completed")</f>
        <v>0</v>
      </c>
      <c r="E8" s="22" t="n">
        <v>7</v>
      </c>
      <c r="F8" s="24" t="str">
        <f aca="false">IFERROR(AVERAGEIFS('60-Day Plan'!$O$2:$O$61,'60-Day Plan'!$A$2:$A$61,"&gt;=43",'60-Day Plan'!$A$2:$A$61,"&lt;=49"),"")</f>
        <v/>
      </c>
      <c r="G8" s="36"/>
      <c r="H8" s="22" t="n">
        <f aca="false">COUNTIFS(Applications!$B$3:$B$300,"&gt;="&amp;B8,Applications!$B$3:$B$300,"&lt;="&amp;C8)</f>
        <v>0</v>
      </c>
      <c r="I8" s="22" t="n">
        <f aca="false">COUNTIFS(Outreach!$B$3:$B$300,"&gt;="&amp;B8,Outreach!$B$3:$B$300,"&lt;="&amp;C8)</f>
        <v>0</v>
      </c>
      <c r="J8" s="22" t="n">
        <f aca="false">COUNTIFS('DSA Log'!$B$3:$B$201,"&gt;="&amp;B8,'DSA Log'!$B$3:$B$201,"&lt;="&amp;C8)</f>
        <v>0</v>
      </c>
      <c r="K8" s="22" t="n">
        <f aca="false">COUNTIFS('Mock Interviews'!$B$3:$B$201,"&gt;="&amp;B8,'Mock Interviews'!$B$3:$B$201,"&lt;="&amp;C8)</f>
        <v>0</v>
      </c>
      <c r="L8" s="28"/>
      <c r="M8" s="28"/>
      <c r="N8" s="28"/>
    </row>
    <row r="9" customFormat="false" ht="15" hidden="false" customHeight="false" outlineLevel="0" collapsed="false">
      <c r="A9" s="22" t="n">
        <v>8</v>
      </c>
      <c r="B9" s="25" t="n">
        <f aca="false">'Learning Dashboard'!$B$3+49</f>
        <v>46360</v>
      </c>
      <c r="C9" s="25" t="n">
        <f aca="false">'Learning Dashboard'!$B$3+55</f>
        <v>46366</v>
      </c>
      <c r="D9" s="22" t="n">
        <f aca="false">COUNTIFS('60-Day Plan'!$A$2:$A$61,"&gt;=50",'60-Day Plan'!$A$2:$A$61,"&lt;=56",'60-Day Plan'!$N$2:$N$61,"Completed")</f>
        <v>0</v>
      </c>
      <c r="E9" s="22" t="n">
        <v>7</v>
      </c>
      <c r="F9" s="24" t="str">
        <f aca="false">IFERROR(AVERAGEIFS('60-Day Plan'!$O$2:$O$61,'60-Day Plan'!$A$2:$A$61,"&gt;=50",'60-Day Plan'!$A$2:$A$61,"&lt;=56"),"")</f>
        <v/>
      </c>
      <c r="G9" s="36"/>
      <c r="H9" s="22" t="n">
        <f aca="false">COUNTIFS(Applications!$B$3:$B$300,"&gt;="&amp;B9,Applications!$B$3:$B$300,"&lt;="&amp;C9)</f>
        <v>0</v>
      </c>
      <c r="I9" s="22" t="n">
        <f aca="false">COUNTIFS(Outreach!$B$3:$B$300,"&gt;="&amp;B9,Outreach!$B$3:$B$300,"&lt;="&amp;C9)</f>
        <v>0</v>
      </c>
      <c r="J9" s="22" t="n">
        <f aca="false">COUNTIFS('DSA Log'!$B$3:$B$201,"&gt;="&amp;B9,'DSA Log'!$B$3:$B$201,"&lt;="&amp;C9)</f>
        <v>0</v>
      </c>
      <c r="K9" s="22" t="n">
        <f aca="false">COUNTIFS('Mock Interviews'!$B$3:$B$201,"&gt;="&amp;B9,'Mock Interviews'!$B$3:$B$201,"&lt;="&amp;C9)</f>
        <v>0</v>
      </c>
      <c r="L9" s="28"/>
      <c r="M9" s="28"/>
      <c r="N9" s="28"/>
    </row>
    <row r="10" customFormat="false" ht="15" hidden="false" customHeight="false" outlineLevel="0" collapsed="false">
      <c r="A10" s="22" t="n">
        <v>9</v>
      </c>
      <c r="B10" s="25" t="n">
        <f aca="false">'Learning Dashboard'!$B$3+56</f>
        <v>46367</v>
      </c>
      <c r="C10" s="25" t="n">
        <f aca="false">'Learning Dashboard'!$B$3+59</f>
        <v>46370</v>
      </c>
      <c r="D10" s="22" t="n">
        <f aca="false">COUNTIFS('60-Day Plan'!$A$2:$A$61,"&gt;=57",'60-Day Plan'!$A$2:$A$61,"&lt;=60",'60-Day Plan'!$N$2:$N$61,"Completed")</f>
        <v>0</v>
      </c>
      <c r="E10" s="22" t="n">
        <v>4</v>
      </c>
      <c r="F10" s="24" t="str">
        <f aca="false">IFERROR(AVERAGEIFS('60-Day Plan'!$O$2:$O$61,'60-Day Plan'!$A$2:$A$61,"&gt;=57",'60-Day Plan'!$A$2:$A$61,"&lt;=60"),"")</f>
        <v/>
      </c>
      <c r="G10" s="36"/>
      <c r="H10" s="22" t="n">
        <f aca="false">COUNTIFS(Applications!$B$3:$B$300,"&gt;="&amp;B10,Applications!$B$3:$B$300,"&lt;="&amp;C10)</f>
        <v>0</v>
      </c>
      <c r="I10" s="22" t="n">
        <f aca="false">COUNTIFS(Outreach!$B$3:$B$300,"&gt;="&amp;B10,Outreach!$B$3:$B$300,"&lt;="&amp;C10)</f>
        <v>0</v>
      </c>
      <c r="J10" s="22" t="n">
        <f aca="false">COUNTIFS('DSA Log'!$B$3:$B$201,"&gt;="&amp;B10,'DSA Log'!$B$3:$B$201,"&lt;="&amp;C10)</f>
        <v>0</v>
      </c>
      <c r="K10" s="22" t="n">
        <f aca="false">COUNTIFS('Mock Interviews'!$B$3:$B$201,"&gt;="&amp;B10,'Mock Interviews'!$B$3:$B$201,"&lt;="&amp;C10)</f>
        <v>0</v>
      </c>
      <c r="L10" s="28"/>
      <c r="M10" s="28"/>
      <c r="N10" s="28"/>
    </row>
    <row r="12" customFormat="false" ht="15" hidden="false" customHeight="false" outlineLevel="0" collapsed="false">
      <c r="A12" s="16" t="s">
        <v>942</v>
      </c>
    </row>
    <row r="13" customFormat="false" ht="15" hidden="false" customHeight="false" outlineLevel="0" collapsed="false">
      <c r="A13" s="16" t="s">
        <v>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21" t="s">
        <v>108</v>
      </c>
      <c r="B1" s="21" t="s">
        <v>109</v>
      </c>
      <c r="C1" s="21" t="s">
        <v>944</v>
      </c>
      <c r="D1" s="21" t="s">
        <v>945</v>
      </c>
      <c r="E1" s="21" t="s">
        <v>904</v>
      </c>
      <c r="F1" s="21" t="s">
        <v>572</v>
      </c>
    </row>
    <row r="2" customFormat="false" ht="15" hidden="false" customHeight="true" outlineLevel="0" collapsed="false">
      <c r="A2" s="22" t="n">
        <v>1</v>
      </c>
      <c r="B2" s="25" t="n">
        <f aca="false">'Start Here'!$B$3+A2-1</f>
        <v>46309</v>
      </c>
      <c r="C2" s="22" t="s">
        <v>946</v>
      </c>
      <c r="D2" s="22" t="s">
        <v>947</v>
      </c>
      <c r="E2" s="22"/>
      <c r="F2" s="22"/>
    </row>
    <row r="3" customFormat="false" ht="15" hidden="false" customHeight="true" outlineLevel="0" collapsed="false">
      <c r="A3" s="22" t="n">
        <v>1</v>
      </c>
      <c r="B3" s="25" t="n">
        <f aca="false">'Start Here'!$B$3+A3-1</f>
        <v>46309</v>
      </c>
      <c r="C3" s="22" t="s">
        <v>948</v>
      </c>
      <c r="D3" s="22" t="s">
        <v>949</v>
      </c>
      <c r="E3" s="22"/>
      <c r="F3" s="22"/>
    </row>
    <row r="4" customFormat="false" ht="15" hidden="false" customHeight="true" outlineLevel="0" collapsed="false">
      <c r="A4" s="22" t="n">
        <v>1</v>
      </c>
      <c r="B4" s="25" t="n">
        <f aca="false">'Start Here'!$B$3+A4-1</f>
        <v>46309</v>
      </c>
      <c r="C4" s="22" t="s">
        <v>950</v>
      </c>
      <c r="D4" s="22" t="s">
        <v>951</v>
      </c>
      <c r="E4" s="22"/>
      <c r="F4" s="22"/>
    </row>
    <row r="5" customFormat="false" ht="15" hidden="false" customHeight="true" outlineLevel="0" collapsed="false">
      <c r="A5" s="22" t="n">
        <v>1</v>
      </c>
      <c r="B5" s="25" t="n">
        <f aca="false">'Start Here'!$B$3+A5-1</f>
        <v>46309</v>
      </c>
      <c r="C5" s="22" t="s">
        <v>952</v>
      </c>
      <c r="D5" s="22" t="s">
        <v>953</v>
      </c>
      <c r="E5" s="22"/>
      <c r="F5" s="22"/>
    </row>
    <row r="6" customFormat="false" ht="15" hidden="false" customHeight="true" outlineLevel="0" collapsed="false">
      <c r="A6" s="22" t="n">
        <v>2</v>
      </c>
      <c r="B6" s="25" t="n">
        <f aca="false">'Start Here'!$B$3+A6-1</f>
        <v>46310</v>
      </c>
      <c r="C6" s="22" t="s">
        <v>954</v>
      </c>
      <c r="D6" s="22" t="s">
        <v>953</v>
      </c>
      <c r="E6" s="22"/>
      <c r="F6" s="22"/>
    </row>
    <row r="7" customFormat="false" ht="15" hidden="false" customHeight="true" outlineLevel="0" collapsed="false">
      <c r="A7" s="22" t="n">
        <v>2</v>
      </c>
      <c r="B7" s="25" t="n">
        <f aca="false">'Start Here'!$B$3+A7-1</f>
        <v>46310</v>
      </c>
      <c r="C7" s="22" t="s">
        <v>955</v>
      </c>
      <c r="D7" s="22" t="s">
        <v>956</v>
      </c>
      <c r="E7" s="22"/>
      <c r="F7" s="22"/>
    </row>
    <row r="8" customFormat="false" ht="15" hidden="false" customHeight="true" outlineLevel="0" collapsed="false">
      <c r="A8" s="22" t="n">
        <v>3</v>
      </c>
      <c r="B8" s="25" t="n">
        <f aca="false">'Start Here'!$B$3+A8-1</f>
        <v>46311</v>
      </c>
      <c r="C8" s="22" t="s">
        <v>955</v>
      </c>
      <c r="D8" s="22" t="s">
        <v>956</v>
      </c>
      <c r="E8" s="22"/>
      <c r="F8" s="22"/>
    </row>
    <row r="9" customFormat="false" ht="15" hidden="false" customHeight="true" outlineLevel="0" collapsed="false">
      <c r="A9" s="22" t="n">
        <v>3</v>
      </c>
      <c r="B9" s="25" t="n">
        <f aca="false">'Start Here'!$B$3+A9-1</f>
        <v>46311</v>
      </c>
      <c r="C9" s="22" t="s">
        <v>957</v>
      </c>
      <c r="D9" s="22" t="s">
        <v>958</v>
      </c>
      <c r="E9" s="22"/>
      <c r="F9" s="22"/>
    </row>
    <row r="10" customFormat="false" ht="15" hidden="false" customHeight="true" outlineLevel="0" collapsed="false">
      <c r="A10" s="22" t="n">
        <v>4</v>
      </c>
      <c r="B10" s="25" t="n">
        <f aca="false">'Start Here'!$B$3+A10-1</f>
        <v>46312</v>
      </c>
      <c r="C10" s="22" t="s">
        <v>959</v>
      </c>
      <c r="D10" s="22" t="s">
        <v>960</v>
      </c>
      <c r="E10" s="22"/>
      <c r="F10" s="22"/>
    </row>
    <row r="11" customFormat="false" ht="15" hidden="false" customHeight="true" outlineLevel="0" collapsed="false">
      <c r="A11" s="22" t="n">
        <v>4</v>
      </c>
      <c r="B11" s="25" t="n">
        <f aca="false">'Start Here'!$B$3+A11-1</f>
        <v>46312</v>
      </c>
      <c r="C11" s="22" t="s">
        <v>961</v>
      </c>
      <c r="D11" s="22" t="s">
        <v>962</v>
      </c>
      <c r="E11" s="22"/>
      <c r="F11" s="22"/>
    </row>
    <row r="12" customFormat="false" ht="15" hidden="false" customHeight="true" outlineLevel="0" collapsed="false">
      <c r="A12" s="22" t="n">
        <v>5</v>
      </c>
      <c r="B12" s="25" t="n">
        <f aca="false">'Start Here'!$B$3+A12-1</f>
        <v>46313</v>
      </c>
      <c r="C12" s="22" t="s">
        <v>955</v>
      </c>
      <c r="D12" s="22" t="s">
        <v>956</v>
      </c>
      <c r="E12" s="22"/>
      <c r="F12" s="22"/>
    </row>
    <row r="13" customFormat="false" ht="15" hidden="false" customHeight="true" outlineLevel="0" collapsed="false">
      <c r="A13" s="22" t="n">
        <v>5</v>
      </c>
      <c r="B13" s="25" t="n">
        <f aca="false">'Start Here'!$B$3+A13-1</f>
        <v>46313</v>
      </c>
      <c r="C13" s="22" t="s">
        <v>957</v>
      </c>
      <c r="D13" s="22" t="s">
        <v>958</v>
      </c>
      <c r="E13" s="22"/>
      <c r="F13" s="22"/>
    </row>
    <row r="14" customFormat="false" ht="15" hidden="false" customHeight="true" outlineLevel="0" collapsed="false">
      <c r="A14" s="22" t="n">
        <v>6</v>
      </c>
      <c r="B14" s="25" t="n">
        <f aca="false">'Start Here'!$B$3+A14-1</f>
        <v>46314</v>
      </c>
      <c r="C14" s="22" t="s">
        <v>963</v>
      </c>
      <c r="D14" s="22" t="s">
        <v>964</v>
      </c>
      <c r="E14" s="22"/>
      <c r="F14" s="22"/>
    </row>
    <row r="15" customFormat="false" ht="15" hidden="false" customHeight="true" outlineLevel="0" collapsed="false">
      <c r="A15" s="22" t="n">
        <v>7</v>
      </c>
      <c r="B15" s="25" t="n">
        <f aca="false">'Start Here'!$B$3+A15-1</f>
        <v>46315</v>
      </c>
      <c r="C15" s="22" t="s">
        <v>965</v>
      </c>
      <c r="D15" s="22" t="s">
        <v>966</v>
      </c>
      <c r="E15" s="22"/>
      <c r="F15" s="22"/>
    </row>
    <row r="16" customFormat="false" ht="15" hidden="false" customHeight="true" outlineLevel="0" collapsed="false">
      <c r="A16" s="22" t="n">
        <v>7</v>
      </c>
      <c r="B16" s="25" t="n">
        <f aca="false">'Start Here'!$B$3+A16-1</f>
        <v>46315</v>
      </c>
      <c r="C16" s="22" t="s">
        <v>967</v>
      </c>
      <c r="D16" s="22" t="s">
        <v>968</v>
      </c>
      <c r="E16" s="22"/>
      <c r="F16" s="22"/>
    </row>
    <row r="18" customFormat="false" ht="15" hidden="false" customHeight="true" outlineLevel="0" collapsed="false">
      <c r="C18" s="3" t="s">
        <v>969</v>
      </c>
      <c r="D18" s="3" t="str">
        <f aca="false">COUNTIF(E2:E16,"Yes")&amp;" of "&amp;COUNTA(C2:C16)</f>
        <v>0 of 15</v>
      </c>
    </row>
  </sheetData>
  <dataValidations count="1">
    <dataValidation allowBlank="true" errorStyle="stop" operator="between" showDropDown="false" showErrorMessage="false" showInputMessage="false" sqref="E2:E16" type="list">
      <formula1>"Yes,No,Partly"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22"/>
    <col collapsed="false" customWidth="true" hidden="false" outlineLevel="0" max="9" min="9" style="1" width="14"/>
    <col collapsed="false" customWidth="true" hidden="false" outlineLevel="0" max="12" min="10" style="1" width="12"/>
    <col collapsed="false" customWidth="true" hidden="false" outlineLevel="0" max="13" min="13" style="1" width="35"/>
  </cols>
  <sheetData>
    <row r="1" customFormat="false" ht="31.5" hidden="false" customHeight="true" outlineLevel="0" collapsed="false">
      <c r="A1" s="21" t="s">
        <v>806</v>
      </c>
      <c r="B1" s="21" t="s">
        <v>970</v>
      </c>
      <c r="C1" s="21" t="s">
        <v>971</v>
      </c>
      <c r="D1" s="21" t="s">
        <v>972</v>
      </c>
      <c r="E1" s="21" t="s">
        <v>973</v>
      </c>
      <c r="F1" s="21" t="s">
        <v>974</v>
      </c>
      <c r="G1" s="21" t="s">
        <v>975</v>
      </c>
      <c r="H1" s="21" t="s">
        <v>976</v>
      </c>
      <c r="I1" s="21" t="s">
        <v>120</v>
      </c>
      <c r="J1" s="21" t="s">
        <v>977</v>
      </c>
      <c r="K1" s="21" t="s">
        <v>978</v>
      </c>
      <c r="L1" s="21" t="s">
        <v>979</v>
      </c>
      <c r="M1" s="21" t="s">
        <v>572</v>
      </c>
    </row>
    <row r="2" customFormat="false" ht="15" hidden="false" customHeight="true" outlineLevel="0" collapsed="false">
      <c r="A2" s="22" t="n">
        <v>1</v>
      </c>
      <c r="B2" s="33" t="n">
        <v>46027</v>
      </c>
      <c r="C2" s="34" t="s">
        <v>980</v>
      </c>
      <c r="D2" s="34" t="s">
        <v>981</v>
      </c>
      <c r="E2" s="34" t="s">
        <v>982</v>
      </c>
      <c r="F2" s="34" t="s">
        <v>983</v>
      </c>
      <c r="G2" s="34" t="s">
        <v>984</v>
      </c>
      <c r="H2" s="34" t="s">
        <v>985</v>
      </c>
      <c r="I2" s="34" t="s">
        <v>986</v>
      </c>
      <c r="J2" s="33" t="n">
        <v>46032</v>
      </c>
      <c r="K2" s="33"/>
      <c r="L2" s="33"/>
      <c r="M2" s="34" t="s">
        <v>987</v>
      </c>
    </row>
    <row r="3" customFormat="false" ht="15" hidden="false" customHeight="true" outlineLevel="0" collapsed="false">
      <c r="A3" s="22" t="n">
        <v>2</v>
      </c>
      <c r="B3" s="25"/>
      <c r="C3" s="22"/>
      <c r="D3" s="22"/>
      <c r="E3" s="22"/>
      <c r="F3" s="22"/>
      <c r="G3" s="22"/>
      <c r="H3" s="22"/>
      <c r="I3" s="22"/>
      <c r="J3" s="25"/>
      <c r="K3" s="25"/>
      <c r="L3" s="25"/>
      <c r="M3" s="22"/>
    </row>
    <row r="4" customFormat="false" ht="15" hidden="false" customHeight="true" outlineLevel="0" collapsed="false">
      <c r="A4" s="22" t="n">
        <v>3</v>
      </c>
      <c r="B4" s="25"/>
      <c r="C4" s="22"/>
      <c r="D4" s="22"/>
      <c r="E4" s="22"/>
      <c r="F4" s="22"/>
      <c r="G4" s="22"/>
      <c r="H4" s="22"/>
      <c r="I4" s="22"/>
      <c r="J4" s="25"/>
      <c r="K4" s="25"/>
      <c r="L4" s="25"/>
      <c r="M4" s="22"/>
    </row>
    <row r="5" customFormat="false" ht="15" hidden="false" customHeight="true" outlineLevel="0" collapsed="false">
      <c r="A5" s="22" t="n">
        <v>4</v>
      </c>
      <c r="B5" s="25"/>
      <c r="C5" s="22"/>
      <c r="D5" s="22"/>
      <c r="E5" s="22"/>
      <c r="F5" s="22"/>
      <c r="G5" s="22"/>
      <c r="H5" s="22"/>
      <c r="I5" s="22"/>
      <c r="J5" s="25"/>
      <c r="K5" s="25"/>
      <c r="L5" s="25"/>
      <c r="M5" s="22"/>
    </row>
    <row r="6" customFormat="false" ht="15" hidden="false" customHeight="true" outlineLevel="0" collapsed="false">
      <c r="A6" s="22" t="n">
        <v>5</v>
      </c>
      <c r="B6" s="25"/>
      <c r="C6" s="22"/>
      <c r="D6" s="22"/>
      <c r="E6" s="22"/>
      <c r="F6" s="22"/>
      <c r="G6" s="22"/>
      <c r="H6" s="22"/>
      <c r="I6" s="22"/>
      <c r="J6" s="25"/>
      <c r="K6" s="25"/>
      <c r="L6" s="25"/>
      <c r="M6" s="22"/>
    </row>
    <row r="7" customFormat="false" ht="15" hidden="false" customHeight="true" outlineLevel="0" collapsed="false">
      <c r="A7" s="22" t="n">
        <v>6</v>
      </c>
      <c r="B7" s="25"/>
      <c r="C7" s="22"/>
      <c r="D7" s="22"/>
      <c r="E7" s="22"/>
      <c r="F7" s="22"/>
      <c r="G7" s="22"/>
      <c r="H7" s="22"/>
      <c r="I7" s="22"/>
      <c r="J7" s="25"/>
      <c r="K7" s="25"/>
      <c r="L7" s="25"/>
      <c r="M7" s="22"/>
    </row>
    <row r="8" customFormat="false" ht="15" hidden="false" customHeight="true" outlineLevel="0" collapsed="false">
      <c r="A8" s="22" t="n">
        <v>7</v>
      </c>
      <c r="B8" s="25"/>
      <c r="C8" s="22"/>
      <c r="D8" s="22"/>
      <c r="E8" s="22"/>
      <c r="F8" s="22"/>
      <c r="G8" s="22"/>
      <c r="H8" s="22"/>
      <c r="I8" s="22"/>
      <c r="J8" s="25"/>
      <c r="K8" s="25"/>
      <c r="L8" s="25"/>
      <c r="M8" s="22"/>
    </row>
    <row r="9" customFormat="false" ht="15" hidden="false" customHeight="true" outlineLevel="0" collapsed="false">
      <c r="A9" s="22" t="n">
        <v>8</v>
      </c>
      <c r="B9" s="25"/>
      <c r="C9" s="22"/>
      <c r="D9" s="22"/>
      <c r="E9" s="22"/>
      <c r="F9" s="22"/>
      <c r="G9" s="22"/>
      <c r="H9" s="22"/>
      <c r="I9" s="22"/>
      <c r="J9" s="25"/>
      <c r="K9" s="25"/>
      <c r="L9" s="25"/>
      <c r="M9" s="22"/>
    </row>
    <row r="10" customFormat="false" ht="15" hidden="false" customHeight="true" outlineLevel="0" collapsed="false">
      <c r="A10" s="22" t="n">
        <v>9</v>
      </c>
      <c r="B10" s="25"/>
      <c r="C10" s="22"/>
      <c r="D10" s="22"/>
      <c r="E10" s="22"/>
      <c r="F10" s="22"/>
      <c r="G10" s="22"/>
      <c r="H10" s="22"/>
      <c r="I10" s="22"/>
      <c r="J10" s="25"/>
      <c r="K10" s="25"/>
      <c r="L10" s="25"/>
      <c r="M10" s="22"/>
    </row>
    <row r="11" customFormat="false" ht="15" hidden="false" customHeight="true" outlineLevel="0" collapsed="false">
      <c r="A11" s="22" t="n">
        <v>10</v>
      </c>
      <c r="B11" s="25"/>
      <c r="C11" s="22"/>
      <c r="D11" s="22"/>
      <c r="E11" s="22"/>
      <c r="F11" s="22"/>
      <c r="G11" s="22"/>
      <c r="H11" s="22"/>
      <c r="I11" s="22"/>
      <c r="J11" s="25"/>
      <c r="K11" s="25"/>
      <c r="L11" s="25"/>
      <c r="M11" s="22"/>
    </row>
    <row r="12" customFormat="false" ht="15" hidden="false" customHeight="true" outlineLevel="0" collapsed="false">
      <c r="A12" s="22" t="n">
        <v>11</v>
      </c>
      <c r="B12" s="25"/>
      <c r="C12" s="22"/>
      <c r="D12" s="22"/>
      <c r="E12" s="22"/>
      <c r="F12" s="22"/>
      <c r="G12" s="22"/>
      <c r="H12" s="22"/>
      <c r="I12" s="22"/>
      <c r="J12" s="25"/>
      <c r="K12" s="25"/>
      <c r="L12" s="25"/>
      <c r="M12" s="22"/>
    </row>
    <row r="13" customFormat="false" ht="15" hidden="false" customHeight="true" outlineLevel="0" collapsed="false">
      <c r="A13" s="22" t="n">
        <v>12</v>
      </c>
      <c r="B13" s="25"/>
      <c r="C13" s="22"/>
      <c r="D13" s="22"/>
      <c r="E13" s="22"/>
      <c r="F13" s="22"/>
      <c r="G13" s="22"/>
      <c r="H13" s="22"/>
      <c r="I13" s="22"/>
      <c r="J13" s="25"/>
      <c r="K13" s="25"/>
      <c r="L13" s="25"/>
      <c r="M13" s="22"/>
    </row>
    <row r="14" customFormat="false" ht="15" hidden="false" customHeight="true" outlineLevel="0" collapsed="false">
      <c r="A14" s="22" t="n">
        <v>13</v>
      </c>
      <c r="B14" s="25"/>
      <c r="C14" s="22"/>
      <c r="D14" s="22"/>
      <c r="E14" s="22"/>
      <c r="F14" s="22"/>
      <c r="G14" s="22"/>
      <c r="H14" s="22"/>
      <c r="I14" s="22"/>
      <c r="J14" s="25"/>
      <c r="K14" s="25"/>
      <c r="L14" s="25"/>
      <c r="M14" s="22"/>
    </row>
    <row r="15" customFormat="false" ht="15" hidden="false" customHeight="true" outlineLevel="0" collapsed="false">
      <c r="A15" s="22" t="n">
        <v>14</v>
      </c>
      <c r="B15" s="25"/>
      <c r="C15" s="22"/>
      <c r="D15" s="22"/>
      <c r="E15" s="22"/>
      <c r="F15" s="22"/>
      <c r="G15" s="22"/>
      <c r="H15" s="22"/>
      <c r="I15" s="22"/>
      <c r="J15" s="25"/>
      <c r="K15" s="25"/>
      <c r="L15" s="25"/>
      <c r="M15" s="22"/>
    </row>
    <row r="16" customFormat="false" ht="15" hidden="false" customHeight="true" outlineLevel="0" collapsed="false">
      <c r="A16" s="22" t="n">
        <v>15</v>
      </c>
      <c r="B16" s="25"/>
      <c r="C16" s="22"/>
      <c r="D16" s="22"/>
      <c r="E16" s="22"/>
      <c r="F16" s="22"/>
      <c r="G16" s="22"/>
      <c r="H16" s="22"/>
      <c r="I16" s="22"/>
      <c r="J16" s="25"/>
      <c r="K16" s="25"/>
      <c r="L16" s="25"/>
      <c r="M16" s="22"/>
    </row>
    <row r="17" customFormat="false" ht="15" hidden="false" customHeight="true" outlineLevel="0" collapsed="false">
      <c r="A17" s="22" t="n">
        <v>16</v>
      </c>
      <c r="B17" s="25"/>
      <c r="C17" s="22"/>
      <c r="D17" s="22"/>
      <c r="E17" s="22"/>
      <c r="F17" s="22"/>
      <c r="G17" s="22"/>
      <c r="H17" s="22"/>
      <c r="I17" s="22"/>
      <c r="J17" s="25"/>
      <c r="K17" s="25"/>
      <c r="L17" s="25"/>
      <c r="M17" s="22"/>
    </row>
    <row r="18" customFormat="false" ht="15" hidden="false" customHeight="true" outlineLevel="0" collapsed="false">
      <c r="A18" s="22" t="n">
        <v>17</v>
      </c>
      <c r="B18" s="25"/>
      <c r="C18" s="22"/>
      <c r="D18" s="22"/>
      <c r="E18" s="22"/>
      <c r="F18" s="22"/>
      <c r="G18" s="22"/>
      <c r="H18" s="22"/>
      <c r="I18" s="22"/>
      <c r="J18" s="25"/>
      <c r="K18" s="25"/>
      <c r="L18" s="25"/>
      <c r="M18" s="22"/>
    </row>
    <row r="19" customFormat="false" ht="15" hidden="false" customHeight="true" outlineLevel="0" collapsed="false">
      <c r="A19" s="22" t="n">
        <v>18</v>
      </c>
      <c r="B19" s="25"/>
      <c r="C19" s="22"/>
      <c r="D19" s="22"/>
      <c r="E19" s="22"/>
      <c r="F19" s="22"/>
      <c r="G19" s="22"/>
      <c r="H19" s="22"/>
      <c r="I19" s="22"/>
      <c r="J19" s="25"/>
      <c r="K19" s="25"/>
      <c r="L19" s="25"/>
      <c r="M19" s="22"/>
    </row>
    <row r="20" customFormat="false" ht="15" hidden="false" customHeight="true" outlineLevel="0" collapsed="false">
      <c r="A20" s="22" t="n">
        <v>19</v>
      </c>
      <c r="B20" s="25"/>
      <c r="C20" s="22"/>
      <c r="D20" s="22"/>
      <c r="E20" s="22"/>
      <c r="F20" s="22"/>
      <c r="G20" s="22"/>
      <c r="H20" s="22"/>
      <c r="I20" s="22"/>
      <c r="J20" s="25"/>
      <c r="K20" s="25"/>
      <c r="L20" s="25"/>
      <c r="M20" s="22"/>
    </row>
    <row r="21" customFormat="false" ht="15" hidden="false" customHeight="true" outlineLevel="0" collapsed="false">
      <c r="A21" s="22" t="n">
        <v>20</v>
      </c>
      <c r="B21" s="25"/>
      <c r="C21" s="22"/>
      <c r="D21" s="22"/>
      <c r="E21" s="22"/>
      <c r="F21" s="22"/>
      <c r="G21" s="22"/>
      <c r="H21" s="22"/>
      <c r="I21" s="22"/>
      <c r="J21" s="25"/>
      <c r="K21" s="25"/>
      <c r="L21" s="25"/>
      <c r="M21" s="22"/>
    </row>
    <row r="22" customFormat="false" ht="15" hidden="false" customHeight="true" outlineLevel="0" collapsed="false">
      <c r="A22" s="22" t="n">
        <v>21</v>
      </c>
      <c r="B22" s="25"/>
      <c r="C22" s="22"/>
      <c r="D22" s="22"/>
      <c r="E22" s="22"/>
      <c r="F22" s="22"/>
      <c r="G22" s="22"/>
      <c r="H22" s="22"/>
      <c r="I22" s="22"/>
      <c r="J22" s="25"/>
      <c r="K22" s="25"/>
      <c r="L22" s="25"/>
      <c r="M22" s="22"/>
    </row>
    <row r="23" customFormat="false" ht="15" hidden="false" customHeight="true" outlineLevel="0" collapsed="false">
      <c r="A23" s="22" t="n">
        <v>22</v>
      </c>
      <c r="B23" s="25"/>
      <c r="C23" s="22"/>
      <c r="D23" s="22"/>
      <c r="E23" s="22"/>
      <c r="F23" s="22"/>
      <c r="G23" s="22"/>
      <c r="H23" s="22"/>
      <c r="I23" s="22"/>
      <c r="J23" s="25"/>
      <c r="K23" s="25"/>
      <c r="L23" s="25"/>
      <c r="M23" s="22"/>
    </row>
    <row r="24" customFormat="false" ht="15" hidden="false" customHeight="true" outlineLevel="0" collapsed="false">
      <c r="A24" s="22" t="n">
        <v>23</v>
      </c>
      <c r="B24" s="25"/>
      <c r="C24" s="22"/>
      <c r="D24" s="22"/>
      <c r="E24" s="22"/>
      <c r="F24" s="22"/>
      <c r="G24" s="22"/>
      <c r="H24" s="22"/>
      <c r="I24" s="22"/>
      <c r="J24" s="25"/>
      <c r="K24" s="25"/>
      <c r="L24" s="25"/>
      <c r="M24" s="22"/>
    </row>
    <row r="25" customFormat="false" ht="15" hidden="false" customHeight="true" outlineLevel="0" collapsed="false">
      <c r="A25" s="22" t="n">
        <v>24</v>
      </c>
      <c r="B25" s="25"/>
      <c r="C25" s="22"/>
      <c r="D25" s="22"/>
      <c r="E25" s="22"/>
      <c r="F25" s="22"/>
      <c r="G25" s="22"/>
      <c r="H25" s="22"/>
      <c r="I25" s="22"/>
      <c r="J25" s="25"/>
      <c r="K25" s="25"/>
      <c r="L25" s="25"/>
      <c r="M25" s="22"/>
    </row>
    <row r="26" customFormat="false" ht="15" hidden="false" customHeight="true" outlineLevel="0" collapsed="false">
      <c r="A26" s="22" t="n">
        <v>25</v>
      </c>
      <c r="B26" s="25"/>
      <c r="C26" s="22"/>
      <c r="D26" s="22"/>
      <c r="E26" s="22"/>
      <c r="F26" s="22"/>
      <c r="G26" s="22"/>
      <c r="H26" s="22"/>
      <c r="I26" s="22"/>
      <c r="J26" s="25"/>
      <c r="K26" s="25"/>
      <c r="L26" s="25"/>
      <c r="M26" s="22"/>
    </row>
    <row r="27" customFormat="false" ht="15" hidden="false" customHeight="true" outlineLevel="0" collapsed="false">
      <c r="A27" s="22" t="n">
        <v>26</v>
      </c>
      <c r="B27" s="25"/>
      <c r="C27" s="22"/>
      <c r="D27" s="22"/>
      <c r="E27" s="22"/>
      <c r="F27" s="22"/>
      <c r="G27" s="22"/>
      <c r="H27" s="22"/>
      <c r="I27" s="22"/>
      <c r="J27" s="25"/>
      <c r="K27" s="25"/>
      <c r="L27" s="25"/>
      <c r="M27" s="22"/>
    </row>
    <row r="28" customFormat="false" ht="15" hidden="false" customHeight="true" outlineLevel="0" collapsed="false">
      <c r="A28" s="22" t="n">
        <v>27</v>
      </c>
      <c r="B28" s="25"/>
      <c r="C28" s="22"/>
      <c r="D28" s="22"/>
      <c r="E28" s="22"/>
      <c r="F28" s="22"/>
      <c r="G28" s="22"/>
      <c r="H28" s="22"/>
      <c r="I28" s="22"/>
      <c r="J28" s="25"/>
      <c r="K28" s="25"/>
      <c r="L28" s="25"/>
      <c r="M28" s="22"/>
    </row>
    <row r="29" customFormat="false" ht="15" hidden="false" customHeight="true" outlineLevel="0" collapsed="false">
      <c r="A29" s="22" t="n">
        <v>28</v>
      </c>
      <c r="B29" s="25"/>
      <c r="C29" s="22"/>
      <c r="D29" s="22"/>
      <c r="E29" s="22"/>
      <c r="F29" s="22"/>
      <c r="G29" s="22"/>
      <c r="H29" s="22"/>
      <c r="I29" s="22"/>
      <c r="J29" s="25"/>
      <c r="K29" s="25"/>
      <c r="L29" s="25"/>
      <c r="M29" s="22"/>
    </row>
    <row r="30" customFormat="false" ht="15" hidden="false" customHeight="true" outlineLevel="0" collapsed="false">
      <c r="A30" s="22" t="n">
        <v>29</v>
      </c>
      <c r="B30" s="25"/>
      <c r="C30" s="22"/>
      <c r="D30" s="22"/>
      <c r="E30" s="22"/>
      <c r="F30" s="22"/>
      <c r="G30" s="22"/>
      <c r="H30" s="22"/>
      <c r="I30" s="22"/>
      <c r="J30" s="25"/>
      <c r="K30" s="25"/>
      <c r="L30" s="25"/>
      <c r="M30" s="22"/>
    </row>
    <row r="31" customFormat="false" ht="15" hidden="false" customHeight="true" outlineLevel="0" collapsed="false">
      <c r="A31" s="22" t="n">
        <v>30</v>
      </c>
      <c r="B31" s="25"/>
      <c r="C31" s="22"/>
      <c r="D31" s="22"/>
      <c r="E31" s="22"/>
      <c r="F31" s="22"/>
      <c r="G31" s="22"/>
      <c r="H31" s="22"/>
      <c r="I31" s="22"/>
      <c r="J31" s="25"/>
      <c r="K31" s="25"/>
      <c r="L31" s="25"/>
      <c r="M31" s="22"/>
    </row>
    <row r="32" customFormat="false" ht="15" hidden="false" customHeight="true" outlineLevel="0" collapsed="false">
      <c r="A32" s="22" t="n">
        <v>31</v>
      </c>
      <c r="B32" s="25"/>
      <c r="C32" s="22"/>
      <c r="D32" s="22"/>
      <c r="E32" s="22"/>
      <c r="F32" s="22"/>
      <c r="G32" s="22"/>
      <c r="H32" s="22"/>
      <c r="I32" s="22"/>
      <c r="J32" s="25"/>
      <c r="K32" s="25"/>
      <c r="L32" s="25"/>
      <c r="M32" s="22"/>
    </row>
    <row r="33" customFormat="false" ht="15" hidden="false" customHeight="true" outlineLevel="0" collapsed="false">
      <c r="A33" s="22" t="n">
        <v>32</v>
      </c>
      <c r="B33" s="25"/>
      <c r="C33" s="22"/>
      <c r="D33" s="22"/>
      <c r="E33" s="22"/>
      <c r="F33" s="22"/>
      <c r="G33" s="22"/>
      <c r="H33" s="22"/>
      <c r="I33" s="22"/>
      <c r="J33" s="25"/>
      <c r="K33" s="25"/>
      <c r="L33" s="25"/>
      <c r="M33" s="22"/>
    </row>
    <row r="34" customFormat="false" ht="15" hidden="false" customHeight="true" outlineLevel="0" collapsed="false">
      <c r="A34" s="22" t="n">
        <v>33</v>
      </c>
      <c r="B34" s="25"/>
      <c r="C34" s="22"/>
      <c r="D34" s="22"/>
      <c r="E34" s="22"/>
      <c r="F34" s="22"/>
      <c r="G34" s="22"/>
      <c r="H34" s="22"/>
      <c r="I34" s="22"/>
      <c r="J34" s="25"/>
      <c r="K34" s="25"/>
      <c r="L34" s="25"/>
      <c r="M34" s="22"/>
    </row>
    <row r="35" customFormat="false" ht="15" hidden="false" customHeight="true" outlineLevel="0" collapsed="false">
      <c r="A35" s="22" t="n">
        <v>34</v>
      </c>
      <c r="B35" s="25"/>
      <c r="C35" s="22"/>
      <c r="D35" s="22"/>
      <c r="E35" s="22"/>
      <c r="F35" s="22"/>
      <c r="G35" s="22"/>
      <c r="H35" s="22"/>
      <c r="I35" s="22"/>
      <c r="J35" s="25"/>
      <c r="K35" s="25"/>
      <c r="L35" s="25"/>
      <c r="M35" s="22"/>
    </row>
    <row r="36" customFormat="false" ht="15" hidden="false" customHeight="true" outlineLevel="0" collapsed="false">
      <c r="A36" s="22" t="n">
        <v>35</v>
      </c>
      <c r="B36" s="25"/>
      <c r="C36" s="22"/>
      <c r="D36" s="22"/>
      <c r="E36" s="22"/>
      <c r="F36" s="22"/>
      <c r="G36" s="22"/>
      <c r="H36" s="22"/>
      <c r="I36" s="22"/>
      <c r="J36" s="25"/>
      <c r="K36" s="25"/>
      <c r="L36" s="25"/>
      <c r="M36" s="22"/>
    </row>
    <row r="37" customFormat="false" ht="15" hidden="false" customHeight="true" outlineLevel="0" collapsed="false">
      <c r="A37" s="22" t="n">
        <v>36</v>
      </c>
      <c r="B37" s="25"/>
      <c r="C37" s="22"/>
      <c r="D37" s="22"/>
      <c r="E37" s="22"/>
      <c r="F37" s="22"/>
      <c r="G37" s="22"/>
      <c r="H37" s="22"/>
      <c r="I37" s="22"/>
      <c r="J37" s="25"/>
      <c r="K37" s="25"/>
      <c r="L37" s="25"/>
      <c r="M37" s="22"/>
    </row>
    <row r="38" customFormat="false" ht="15" hidden="false" customHeight="true" outlineLevel="0" collapsed="false">
      <c r="A38" s="22" t="n">
        <v>37</v>
      </c>
      <c r="B38" s="25"/>
      <c r="C38" s="22"/>
      <c r="D38" s="22"/>
      <c r="E38" s="22"/>
      <c r="F38" s="22"/>
      <c r="G38" s="22"/>
      <c r="H38" s="22"/>
      <c r="I38" s="22"/>
      <c r="J38" s="25"/>
      <c r="K38" s="25"/>
      <c r="L38" s="25"/>
      <c r="M38" s="22"/>
    </row>
    <row r="39" customFormat="false" ht="15" hidden="false" customHeight="true" outlineLevel="0" collapsed="false">
      <c r="A39" s="22" t="n">
        <v>38</v>
      </c>
      <c r="B39" s="25"/>
      <c r="C39" s="22"/>
      <c r="D39" s="22"/>
      <c r="E39" s="22"/>
      <c r="F39" s="22"/>
      <c r="G39" s="22"/>
      <c r="H39" s="22"/>
      <c r="I39" s="22"/>
      <c r="J39" s="25"/>
      <c r="K39" s="25"/>
      <c r="L39" s="25"/>
      <c r="M39" s="22"/>
    </row>
    <row r="40" customFormat="false" ht="15" hidden="false" customHeight="true" outlineLevel="0" collapsed="false">
      <c r="A40" s="22" t="n">
        <v>39</v>
      </c>
      <c r="B40" s="25"/>
      <c r="C40" s="22"/>
      <c r="D40" s="22"/>
      <c r="E40" s="22"/>
      <c r="F40" s="22"/>
      <c r="G40" s="22"/>
      <c r="H40" s="22"/>
      <c r="I40" s="22"/>
      <c r="J40" s="25"/>
      <c r="K40" s="25"/>
      <c r="L40" s="25"/>
      <c r="M40" s="22"/>
    </row>
    <row r="41" customFormat="false" ht="15" hidden="false" customHeight="true" outlineLevel="0" collapsed="false">
      <c r="A41" s="22" t="n">
        <v>40</v>
      </c>
      <c r="B41" s="25"/>
      <c r="C41" s="22"/>
      <c r="D41" s="22"/>
      <c r="E41" s="22"/>
      <c r="F41" s="22"/>
      <c r="G41" s="22"/>
      <c r="H41" s="22"/>
      <c r="I41" s="22"/>
      <c r="J41" s="25"/>
      <c r="K41" s="25"/>
      <c r="L41" s="25"/>
      <c r="M41" s="22"/>
    </row>
    <row r="42" customFormat="false" ht="15" hidden="false" customHeight="true" outlineLevel="0" collapsed="false">
      <c r="A42" s="22" t="n">
        <v>41</v>
      </c>
      <c r="B42" s="25"/>
      <c r="C42" s="22"/>
      <c r="D42" s="22"/>
      <c r="E42" s="22"/>
      <c r="F42" s="22"/>
      <c r="G42" s="22"/>
      <c r="H42" s="22"/>
      <c r="I42" s="22"/>
      <c r="J42" s="25"/>
      <c r="K42" s="25"/>
      <c r="L42" s="25"/>
      <c r="M42" s="22"/>
    </row>
    <row r="43" customFormat="false" ht="15" hidden="false" customHeight="true" outlineLevel="0" collapsed="false">
      <c r="A43" s="22" t="n">
        <v>42</v>
      </c>
      <c r="B43" s="25"/>
      <c r="C43" s="22"/>
      <c r="D43" s="22"/>
      <c r="E43" s="22"/>
      <c r="F43" s="22"/>
      <c r="G43" s="22"/>
      <c r="H43" s="22"/>
      <c r="I43" s="22"/>
      <c r="J43" s="25"/>
      <c r="K43" s="25"/>
      <c r="L43" s="25"/>
      <c r="M43" s="22"/>
    </row>
    <row r="44" customFormat="false" ht="15" hidden="false" customHeight="true" outlineLevel="0" collapsed="false">
      <c r="A44" s="22" t="n">
        <v>43</v>
      </c>
      <c r="B44" s="25"/>
      <c r="C44" s="22"/>
      <c r="D44" s="22"/>
      <c r="E44" s="22"/>
      <c r="F44" s="22"/>
      <c r="G44" s="22"/>
      <c r="H44" s="22"/>
      <c r="I44" s="22"/>
      <c r="J44" s="25"/>
      <c r="K44" s="25"/>
      <c r="L44" s="25"/>
      <c r="M44" s="22"/>
    </row>
    <row r="45" customFormat="false" ht="15" hidden="false" customHeight="true" outlineLevel="0" collapsed="false">
      <c r="A45" s="22" t="n">
        <v>44</v>
      </c>
      <c r="B45" s="25"/>
      <c r="C45" s="22"/>
      <c r="D45" s="22"/>
      <c r="E45" s="22"/>
      <c r="F45" s="22"/>
      <c r="G45" s="22"/>
      <c r="H45" s="22"/>
      <c r="I45" s="22"/>
      <c r="J45" s="25"/>
      <c r="K45" s="25"/>
      <c r="L45" s="25"/>
      <c r="M45" s="22"/>
    </row>
    <row r="46" customFormat="false" ht="15" hidden="false" customHeight="true" outlineLevel="0" collapsed="false">
      <c r="A46" s="22" t="n">
        <v>45</v>
      </c>
      <c r="B46" s="25"/>
      <c r="C46" s="22"/>
      <c r="D46" s="22"/>
      <c r="E46" s="22"/>
      <c r="F46" s="22"/>
      <c r="G46" s="22"/>
      <c r="H46" s="22"/>
      <c r="I46" s="22"/>
      <c r="J46" s="25"/>
      <c r="K46" s="25"/>
      <c r="L46" s="25"/>
      <c r="M46" s="22"/>
    </row>
    <row r="47" customFormat="false" ht="15" hidden="false" customHeight="true" outlineLevel="0" collapsed="false">
      <c r="A47" s="22" t="n">
        <v>46</v>
      </c>
      <c r="B47" s="25"/>
      <c r="C47" s="22"/>
      <c r="D47" s="22"/>
      <c r="E47" s="22"/>
      <c r="F47" s="22"/>
      <c r="G47" s="22"/>
      <c r="H47" s="22"/>
      <c r="I47" s="22"/>
      <c r="J47" s="25"/>
      <c r="K47" s="25"/>
      <c r="L47" s="25"/>
      <c r="M47" s="22"/>
    </row>
    <row r="48" customFormat="false" ht="15" hidden="false" customHeight="true" outlineLevel="0" collapsed="false">
      <c r="A48" s="22" t="n">
        <v>47</v>
      </c>
      <c r="B48" s="25"/>
      <c r="C48" s="22"/>
      <c r="D48" s="22"/>
      <c r="E48" s="22"/>
      <c r="F48" s="22"/>
      <c r="G48" s="22"/>
      <c r="H48" s="22"/>
      <c r="I48" s="22"/>
      <c r="J48" s="25"/>
      <c r="K48" s="25"/>
      <c r="L48" s="25"/>
      <c r="M48" s="22"/>
    </row>
    <row r="49" customFormat="false" ht="15" hidden="false" customHeight="true" outlineLevel="0" collapsed="false">
      <c r="A49" s="22" t="n">
        <v>48</v>
      </c>
      <c r="B49" s="25"/>
      <c r="C49" s="22"/>
      <c r="D49" s="22"/>
      <c r="E49" s="22"/>
      <c r="F49" s="22"/>
      <c r="G49" s="22"/>
      <c r="H49" s="22"/>
      <c r="I49" s="22"/>
      <c r="J49" s="25"/>
      <c r="K49" s="25"/>
      <c r="L49" s="25"/>
      <c r="M49" s="22"/>
    </row>
    <row r="50" customFormat="false" ht="15" hidden="false" customHeight="true" outlineLevel="0" collapsed="false">
      <c r="A50" s="22" t="n">
        <v>49</v>
      </c>
      <c r="B50" s="25"/>
      <c r="C50" s="22"/>
      <c r="D50" s="22"/>
      <c r="E50" s="22"/>
      <c r="F50" s="22"/>
      <c r="G50" s="22"/>
      <c r="H50" s="22"/>
      <c r="I50" s="22"/>
      <c r="J50" s="25"/>
      <c r="K50" s="25"/>
      <c r="L50" s="25"/>
      <c r="M50" s="22"/>
    </row>
    <row r="51" customFormat="false" ht="15" hidden="false" customHeight="true" outlineLevel="0" collapsed="false">
      <c r="A51" s="22" t="n">
        <v>50</v>
      </c>
      <c r="B51" s="25"/>
      <c r="C51" s="22"/>
      <c r="D51" s="22"/>
      <c r="E51" s="22"/>
      <c r="F51" s="22"/>
      <c r="G51" s="22"/>
      <c r="H51" s="22"/>
      <c r="I51" s="22"/>
      <c r="J51" s="25"/>
      <c r="K51" s="25"/>
      <c r="L51" s="25"/>
      <c r="M51" s="22"/>
    </row>
    <row r="52" customFormat="false" ht="15" hidden="false" customHeight="true" outlineLevel="0" collapsed="false">
      <c r="A52" s="22" t="n">
        <v>51</v>
      </c>
      <c r="B52" s="25"/>
      <c r="C52" s="22"/>
      <c r="D52" s="22"/>
      <c r="E52" s="22"/>
      <c r="F52" s="22"/>
      <c r="G52" s="22"/>
      <c r="H52" s="22"/>
      <c r="I52" s="22"/>
      <c r="J52" s="25"/>
      <c r="K52" s="25"/>
      <c r="L52" s="25"/>
      <c r="M52" s="22"/>
    </row>
    <row r="53" customFormat="false" ht="15" hidden="false" customHeight="true" outlineLevel="0" collapsed="false">
      <c r="A53" s="22" t="n">
        <v>52</v>
      </c>
      <c r="B53" s="25"/>
      <c r="C53" s="22"/>
      <c r="D53" s="22"/>
      <c r="E53" s="22"/>
      <c r="F53" s="22"/>
      <c r="G53" s="22"/>
      <c r="H53" s="22"/>
      <c r="I53" s="22"/>
      <c r="J53" s="25"/>
      <c r="K53" s="25"/>
      <c r="L53" s="25"/>
      <c r="M53" s="22"/>
    </row>
    <row r="54" customFormat="false" ht="15" hidden="false" customHeight="true" outlineLevel="0" collapsed="false">
      <c r="A54" s="22" t="n">
        <v>53</v>
      </c>
      <c r="B54" s="25"/>
      <c r="C54" s="22"/>
      <c r="D54" s="22"/>
      <c r="E54" s="22"/>
      <c r="F54" s="22"/>
      <c r="G54" s="22"/>
      <c r="H54" s="22"/>
      <c r="I54" s="22"/>
      <c r="J54" s="25"/>
      <c r="K54" s="25"/>
      <c r="L54" s="25"/>
      <c r="M54" s="22"/>
    </row>
    <row r="55" customFormat="false" ht="15" hidden="false" customHeight="true" outlineLevel="0" collapsed="false">
      <c r="A55" s="22" t="n">
        <v>54</v>
      </c>
      <c r="B55" s="25"/>
      <c r="C55" s="22"/>
      <c r="D55" s="22"/>
      <c r="E55" s="22"/>
      <c r="F55" s="22"/>
      <c r="G55" s="22"/>
      <c r="H55" s="22"/>
      <c r="I55" s="22"/>
      <c r="J55" s="25"/>
      <c r="K55" s="25"/>
      <c r="L55" s="25"/>
      <c r="M55" s="22"/>
    </row>
    <row r="56" customFormat="false" ht="15" hidden="false" customHeight="true" outlineLevel="0" collapsed="false">
      <c r="A56" s="22" t="n">
        <v>55</v>
      </c>
      <c r="B56" s="25"/>
      <c r="C56" s="22"/>
      <c r="D56" s="22"/>
      <c r="E56" s="22"/>
      <c r="F56" s="22"/>
      <c r="G56" s="22"/>
      <c r="H56" s="22"/>
      <c r="I56" s="22"/>
      <c r="J56" s="25"/>
      <c r="K56" s="25"/>
      <c r="L56" s="25"/>
      <c r="M56" s="22"/>
    </row>
    <row r="57" customFormat="false" ht="15" hidden="false" customHeight="true" outlineLevel="0" collapsed="false">
      <c r="A57" s="22" t="n">
        <v>56</v>
      </c>
      <c r="B57" s="25"/>
      <c r="C57" s="22"/>
      <c r="D57" s="22"/>
      <c r="E57" s="22"/>
      <c r="F57" s="22"/>
      <c r="G57" s="22"/>
      <c r="H57" s="22"/>
      <c r="I57" s="22"/>
      <c r="J57" s="25"/>
      <c r="K57" s="25"/>
      <c r="L57" s="25"/>
      <c r="M57" s="22"/>
    </row>
    <row r="58" customFormat="false" ht="15" hidden="false" customHeight="true" outlineLevel="0" collapsed="false">
      <c r="A58" s="22" t="n">
        <v>57</v>
      </c>
      <c r="B58" s="25"/>
      <c r="C58" s="22"/>
      <c r="D58" s="22"/>
      <c r="E58" s="22"/>
      <c r="F58" s="22"/>
      <c r="G58" s="22"/>
      <c r="H58" s="22"/>
      <c r="I58" s="22"/>
      <c r="J58" s="25"/>
      <c r="K58" s="25"/>
      <c r="L58" s="25"/>
      <c r="M58" s="22"/>
    </row>
    <row r="59" customFormat="false" ht="15" hidden="false" customHeight="true" outlineLevel="0" collapsed="false">
      <c r="A59" s="22" t="n">
        <v>58</v>
      </c>
      <c r="B59" s="25"/>
      <c r="C59" s="22"/>
      <c r="D59" s="22"/>
      <c r="E59" s="22"/>
      <c r="F59" s="22"/>
      <c r="G59" s="22"/>
      <c r="H59" s="22"/>
      <c r="I59" s="22"/>
      <c r="J59" s="25"/>
      <c r="K59" s="25"/>
      <c r="L59" s="25"/>
      <c r="M59" s="22"/>
    </row>
    <row r="60" customFormat="false" ht="15" hidden="false" customHeight="true" outlineLevel="0" collapsed="false">
      <c r="A60" s="22" t="n">
        <v>59</v>
      </c>
      <c r="B60" s="25"/>
      <c r="C60" s="22"/>
      <c r="D60" s="22"/>
      <c r="E60" s="22"/>
      <c r="F60" s="22"/>
      <c r="G60" s="22"/>
      <c r="H60" s="22"/>
      <c r="I60" s="22"/>
      <c r="J60" s="25"/>
      <c r="K60" s="25"/>
      <c r="L60" s="25"/>
      <c r="M60" s="22"/>
    </row>
    <row r="61" customFormat="false" ht="15" hidden="false" customHeight="true" outlineLevel="0" collapsed="false">
      <c r="A61" s="22" t="n">
        <v>60</v>
      </c>
      <c r="B61" s="25"/>
      <c r="C61" s="22"/>
      <c r="D61" s="22"/>
      <c r="E61" s="22"/>
      <c r="F61" s="22"/>
      <c r="G61" s="22"/>
      <c r="H61" s="22"/>
      <c r="I61" s="22"/>
      <c r="J61" s="25"/>
      <c r="K61" s="25"/>
      <c r="L61" s="25"/>
      <c r="M61" s="22"/>
    </row>
    <row r="62" customFormat="false" ht="15" hidden="false" customHeight="true" outlineLevel="0" collapsed="false">
      <c r="A62" s="22" t="n">
        <v>61</v>
      </c>
      <c r="B62" s="25"/>
      <c r="C62" s="22"/>
      <c r="D62" s="22"/>
      <c r="E62" s="22"/>
      <c r="F62" s="22"/>
      <c r="G62" s="22"/>
      <c r="H62" s="22"/>
      <c r="I62" s="22"/>
      <c r="J62" s="25"/>
      <c r="K62" s="25"/>
      <c r="L62" s="25"/>
      <c r="M62" s="22"/>
    </row>
    <row r="63" customFormat="false" ht="15" hidden="false" customHeight="true" outlineLevel="0" collapsed="false">
      <c r="A63" s="22" t="n">
        <v>62</v>
      </c>
      <c r="B63" s="25"/>
      <c r="C63" s="22"/>
      <c r="D63" s="22"/>
      <c r="E63" s="22"/>
      <c r="F63" s="22"/>
      <c r="G63" s="22"/>
      <c r="H63" s="22"/>
      <c r="I63" s="22"/>
      <c r="J63" s="25"/>
      <c r="K63" s="25"/>
      <c r="L63" s="25"/>
      <c r="M63" s="22"/>
    </row>
    <row r="64" customFormat="false" ht="15" hidden="false" customHeight="true" outlineLevel="0" collapsed="false">
      <c r="A64" s="22" t="n">
        <v>63</v>
      </c>
      <c r="B64" s="25"/>
      <c r="C64" s="22"/>
      <c r="D64" s="22"/>
      <c r="E64" s="22"/>
      <c r="F64" s="22"/>
      <c r="G64" s="22"/>
      <c r="H64" s="22"/>
      <c r="I64" s="22"/>
      <c r="J64" s="25"/>
      <c r="K64" s="25"/>
      <c r="L64" s="25"/>
      <c r="M64" s="22"/>
    </row>
    <row r="65" customFormat="false" ht="15" hidden="false" customHeight="true" outlineLevel="0" collapsed="false">
      <c r="A65" s="22" t="n">
        <v>64</v>
      </c>
      <c r="B65" s="25"/>
      <c r="C65" s="22"/>
      <c r="D65" s="22"/>
      <c r="E65" s="22"/>
      <c r="F65" s="22"/>
      <c r="G65" s="22"/>
      <c r="H65" s="22"/>
      <c r="I65" s="22"/>
      <c r="J65" s="25"/>
      <c r="K65" s="25"/>
      <c r="L65" s="25"/>
      <c r="M65" s="22"/>
    </row>
    <row r="66" customFormat="false" ht="15" hidden="false" customHeight="true" outlineLevel="0" collapsed="false">
      <c r="A66" s="22" t="n">
        <v>65</v>
      </c>
      <c r="B66" s="25"/>
      <c r="C66" s="22"/>
      <c r="D66" s="22"/>
      <c r="E66" s="22"/>
      <c r="F66" s="22"/>
      <c r="G66" s="22"/>
      <c r="H66" s="22"/>
      <c r="I66" s="22"/>
      <c r="J66" s="25"/>
      <c r="K66" s="25"/>
      <c r="L66" s="25"/>
      <c r="M66" s="22"/>
    </row>
    <row r="67" customFormat="false" ht="15" hidden="false" customHeight="true" outlineLevel="0" collapsed="false">
      <c r="A67" s="22" t="n">
        <v>66</v>
      </c>
      <c r="B67" s="25"/>
      <c r="C67" s="22"/>
      <c r="D67" s="22"/>
      <c r="E67" s="22"/>
      <c r="F67" s="22"/>
      <c r="G67" s="22"/>
      <c r="H67" s="22"/>
      <c r="I67" s="22"/>
      <c r="J67" s="25"/>
      <c r="K67" s="25"/>
      <c r="L67" s="25"/>
      <c r="M67" s="22"/>
    </row>
    <row r="68" customFormat="false" ht="15" hidden="false" customHeight="true" outlineLevel="0" collapsed="false">
      <c r="A68" s="22" t="n">
        <v>67</v>
      </c>
      <c r="B68" s="25"/>
      <c r="C68" s="22"/>
      <c r="D68" s="22"/>
      <c r="E68" s="22"/>
      <c r="F68" s="22"/>
      <c r="G68" s="22"/>
      <c r="H68" s="22"/>
      <c r="I68" s="22"/>
      <c r="J68" s="25"/>
      <c r="K68" s="25"/>
      <c r="L68" s="25"/>
      <c r="M68" s="22"/>
    </row>
    <row r="69" customFormat="false" ht="15" hidden="false" customHeight="true" outlineLevel="0" collapsed="false">
      <c r="A69" s="22" t="n">
        <v>68</v>
      </c>
      <c r="B69" s="25"/>
      <c r="C69" s="22"/>
      <c r="D69" s="22"/>
      <c r="E69" s="22"/>
      <c r="F69" s="22"/>
      <c r="G69" s="22"/>
      <c r="H69" s="22"/>
      <c r="I69" s="22"/>
      <c r="J69" s="25"/>
      <c r="K69" s="25"/>
      <c r="L69" s="25"/>
      <c r="M69" s="22"/>
    </row>
    <row r="70" customFormat="false" ht="15" hidden="false" customHeight="true" outlineLevel="0" collapsed="false">
      <c r="A70" s="22" t="n">
        <v>69</v>
      </c>
      <c r="B70" s="25"/>
      <c r="C70" s="22"/>
      <c r="D70" s="22"/>
      <c r="E70" s="22"/>
      <c r="F70" s="22"/>
      <c r="G70" s="22"/>
      <c r="H70" s="22"/>
      <c r="I70" s="22"/>
      <c r="J70" s="25"/>
      <c r="K70" s="25"/>
      <c r="L70" s="25"/>
      <c r="M70" s="22"/>
    </row>
    <row r="71" customFormat="false" ht="15" hidden="false" customHeight="true" outlineLevel="0" collapsed="false">
      <c r="A71" s="22" t="n">
        <v>70</v>
      </c>
      <c r="B71" s="25"/>
      <c r="C71" s="22"/>
      <c r="D71" s="22"/>
      <c r="E71" s="22"/>
      <c r="F71" s="22"/>
      <c r="G71" s="22"/>
      <c r="H71" s="22"/>
      <c r="I71" s="22"/>
      <c r="J71" s="25"/>
      <c r="K71" s="25"/>
      <c r="L71" s="25"/>
      <c r="M71" s="22"/>
    </row>
    <row r="72" customFormat="false" ht="15" hidden="false" customHeight="true" outlineLevel="0" collapsed="false">
      <c r="A72" s="22" t="n">
        <v>71</v>
      </c>
      <c r="B72" s="25"/>
      <c r="C72" s="22"/>
      <c r="D72" s="22"/>
      <c r="E72" s="22"/>
      <c r="F72" s="22"/>
      <c r="G72" s="22"/>
      <c r="H72" s="22"/>
      <c r="I72" s="22"/>
      <c r="J72" s="25"/>
      <c r="K72" s="25"/>
      <c r="L72" s="25"/>
      <c r="M72" s="22"/>
    </row>
    <row r="73" customFormat="false" ht="15" hidden="false" customHeight="true" outlineLevel="0" collapsed="false">
      <c r="A73" s="22" t="n">
        <v>72</v>
      </c>
      <c r="B73" s="25"/>
      <c r="C73" s="22"/>
      <c r="D73" s="22"/>
      <c r="E73" s="22"/>
      <c r="F73" s="22"/>
      <c r="G73" s="22"/>
      <c r="H73" s="22"/>
      <c r="I73" s="22"/>
      <c r="J73" s="25"/>
      <c r="K73" s="25"/>
      <c r="L73" s="25"/>
      <c r="M73" s="22"/>
    </row>
    <row r="74" customFormat="false" ht="15" hidden="false" customHeight="true" outlineLevel="0" collapsed="false">
      <c r="A74" s="22" t="n">
        <v>73</v>
      </c>
      <c r="B74" s="25"/>
      <c r="C74" s="22"/>
      <c r="D74" s="22"/>
      <c r="E74" s="22"/>
      <c r="F74" s="22"/>
      <c r="G74" s="22"/>
      <c r="H74" s="22"/>
      <c r="I74" s="22"/>
      <c r="J74" s="25"/>
      <c r="K74" s="25"/>
      <c r="L74" s="25"/>
      <c r="M74" s="22"/>
    </row>
    <row r="75" customFormat="false" ht="15" hidden="false" customHeight="true" outlineLevel="0" collapsed="false">
      <c r="A75" s="22" t="n">
        <v>74</v>
      </c>
      <c r="B75" s="25"/>
      <c r="C75" s="22"/>
      <c r="D75" s="22"/>
      <c r="E75" s="22"/>
      <c r="F75" s="22"/>
      <c r="G75" s="22"/>
      <c r="H75" s="22"/>
      <c r="I75" s="22"/>
      <c r="J75" s="25"/>
      <c r="K75" s="25"/>
      <c r="L75" s="25"/>
      <c r="M75" s="22"/>
    </row>
    <row r="76" customFormat="false" ht="15" hidden="false" customHeight="true" outlineLevel="0" collapsed="false">
      <c r="A76" s="22" t="n">
        <v>75</v>
      </c>
      <c r="B76" s="25"/>
      <c r="C76" s="22"/>
      <c r="D76" s="22"/>
      <c r="E76" s="22"/>
      <c r="F76" s="22"/>
      <c r="G76" s="22"/>
      <c r="H76" s="22"/>
      <c r="I76" s="22"/>
      <c r="J76" s="25"/>
      <c r="K76" s="25"/>
      <c r="L76" s="25"/>
      <c r="M76" s="22"/>
    </row>
    <row r="77" customFormat="false" ht="15" hidden="false" customHeight="true" outlineLevel="0" collapsed="false">
      <c r="A77" s="22" t="n">
        <v>76</v>
      </c>
      <c r="B77" s="25"/>
      <c r="C77" s="22"/>
      <c r="D77" s="22"/>
      <c r="E77" s="22"/>
      <c r="F77" s="22"/>
      <c r="G77" s="22"/>
      <c r="H77" s="22"/>
      <c r="I77" s="22"/>
      <c r="J77" s="25"/>
      <c r="K77" s="25"/>
      <c r="L77" s="25"/>
      <c r="M77" s="22"/>
    </row>
    <row r="78" customFormat="false" ht="15" hidden="false" customHeight="true" outlineLevel="0" collapsed="false">
      <c r="A78" s="22" t="n">
        <v>77</v>
      </c>
      <c r="B78" s="25"/>
      <c r="C78" s="22"/>
      <c r="D78" s="22"/>
      <c r="E78" s="22"/>
      <c r="F78" s="22"/>
      <c r="G78" s="22"/>
      <c r="H78" s="22"/>
      <c r="I78" s="22"/>
      <c r="J78" s="25"/>
      <c r="K78" s="25"/>
      <c r="L78" s="25"/>
      <c r="M78" s="22"/>
    </row>
    <row r="79" customFormat="false" ht="15" hidden="false" customHeight="true" outlineLevel="0" collapsed="false">
      <c r="A79" s="22" t="n">
        <v>78</v>
      </c>
      <c r="B79" s="25"/>
      <c r="C79" s="22"/>
      <c r="D79" s="22"/>
      <c r="E79" s="22"/>
      <c r="F79" s="22"/>
      <c r="G79" s="22"/>
      <c r="H79" s="22"/>
      <c r="I79" s="22"/>
      <c r="J79" s="25"/>
      <c r="K79" s="25"/>
      <c r="L79" s="25"/>
      <c r="M79" s="22"/>
    </row>
    <row r="80" customFormat="false" ht="15" hidden="false" customHeight="true" outlineLevel="0" collapsed="false">
      <c r="A80" s="22" t="n">
        <v>79</v>
      </c>
      <c r="B80" s="25"/>
      <c r="C80" s="22"/>
      <c r="D80" s="22"/>
      <c r="E80" s="22"/>
      <c r="F80" s="22"/>
      <c r="G80" s="22"/>
      <c r="H80" s="22"/>
      <c r="I80" s="22"/>
      <c r="J80" s="25"/>
      <c r="K80" s="25"/>
      <c r="L80" s="25"/>
      <c r="M80" s="22"/>
    </row>
    <row r="81" customFormat="false" ht="15" hidden="false" customHeight="true" outlineLevel="0" collapsed="false">
      <c r="A81" s="22" t="n">
        <v>80</v>
      </c>
      <c r="B81" s="25"/>
      <c r="C81" s="22"/>
      <c r="D81" s="22"/>
      <c r="E81" s="22"/>
      <c r="F81" s="22"/>
      <c r="G81" s="22"/>
      <c r="H81" s="22"/>
      <c r="I81" s="22"/>
      <c r="J81" s="25"/>
      <c r="K81" s="25"/>
      <c r="L81" s="25"/>
      <c r="M81" s="22"/>
    </row>
    <row r="82" customFormat="false" ht="15" hidden="false" customHeight="true" outlineLevel="0" collapsed="false">
      <c r="A82" s="22" t="n">
        <v>81</v>
      </c>
      <c r="B82" s="25"/>
      <c r="C82" s="22"/>
      <c r="D82" s="22"/>
      <c r="E82" s="22"/>
      <c r="F82" s="22"/>
      <c r="G82" s="22"/>
      <c r="H82" s="22"/>
      <c r="I82" s="22"/>
      <c r="J82" s="25"/>
      <c r="K82" s="25"/>
      <c r="L82" s="25"/>
      <c r="M82" s="22"/>
    </row>
    <row r="83" customFormat="false" ht="15" hidden="false" customHeight="true" outlineLevel="0" collapsed="false">
      <c r="A83" s="22" t="n">
        <v>82</v>
      </c>
      <c r="B83" s="25"/>
      <c r="C83" s="22"/>
      <c r="D83" s="22"/>
      <c r="E83" s="22"/>
      <c r="F83" s="22"/>
      <c r="G83" s="22"/>
      <c r="H83" s="22"/>
      <c r="I83" s="22"/>
      <c r="J83" s="25"/>
      <c r="K83" s="25"/>
      <c r="L83" s="25"/>
      <c r="M83" s="22"/>
    </row>
    <row r="84" customFormat="false" ht="15" hidden="false" customHeight="true" outlineLevel="0" collapsed="false">
      <c r="A84" s="22" t="n">
        <v>83</v>
      </c>
      <c r="B84" s="25"/>
      <c r="C84" s="22"/>
      <c r="D84" s="22"/>
      <c r="E84" s="22"/>
      <c r="F84" s="22"/>
      <c r="G84" s="22"/>
      <c r="H84" s="22"/>
      <c r="I84" s="22"/>
      <c r="J84" s="25"/>
      <c r="K84" s="25"/>
      <c r="L84" s="25"/>
      <c r="M84" s="22"/>
    </row>
    <row r="85" customFormat="false" ht="15" hidden="false" customHeight="true" outlineLevel="0" collapsed="false">
      <c r="A85" s="22" t="n">
        <v>84</v>
      </c>
      <c r="B85" s="25"/>
      <c r="C85" s="22"/>
      <c r="D85" s="22"/>
      <c r="E85" s="22"/>
      <c r="F85" s="22"/>
      <c r="G85" s="22"/>
      <c r="H85" s="22"/>
      <c r="I85" s="22"/>
      <c r="J85" s="25"/>
      <c r="K85" s="25"/>
      <c r="L85" s="25"/>
      <c r="M85" s="22"/>
    </row>
    <row r="86" customFormat="false" ht="15" hidden="false" customHeight="true" outlineLevel="0" collapsed="false">
      <c r="A86" s="22" t="n">
        <v>85</v>
      </c>
      <c r="B86" s="25"/>
      <c r="C86" s="22"/>
      <c r="D86" s="22"/>
      <c r="E86" s="22"/>
      <c r="F86" s="22"/>
      <c r="G86" s="22"/>
      <c r="H86" s="22"/>
      <c r="I86" s="22"/>
      <c r="J86" s="25"/>
      <c r="K86" s="25"/>
      <c r="L86" s="25"/>
      <c r="M86" s="22"/>
    </row>
    <row r="87" customFormat="false" ht="15" hidden="false" customHeight="true" outlineLevel="0" collapsed="false">
      <c r="A87" s="22" t="n">
        <v>86</v>
      </c>
      <c r="B87" s="25"/>
      <c r="C87" s="22"/>
      <c r="D87" s="22"/>
      <c r="E87" s="22"/>
      <c r="F87" s="22"/>
      <c r="G87" s="22"/>
      <c r="H87" s="22"/>
      <c r="I87" s="22"/>
      <c r="J87" s="25"/>
      <c r="K87" s="25"/>
      <c r="L87" s="25"/>
      <c r="M87" s="22"/>
    </row>
    <row r="88" customFormat="false" ht="15" hidden="false" customHeight="true" outlineLevel="0" collapsed="false">
      <c r="A88" s="22" t="n">
        <v>87</v>
      </c>
      <c r="B88" s="25"/>
      <c r="C88" s="22"/>
      <c r="D88" s="22"/>
      <c r="E88" s="22"/>
      <c r="F88" s="22"/>
      <c r="G88" s="22"/>
      <c r="H88" s="22"/>
      <c r="I88" s="22"/>
      <c r="J88" s="25"/>
      <c r="K88" s="25"/>
      <c r="L88" s="25"/>
      <c r="M88" s="22"/>
    </row>
    <row r="89" customFormat="false" ht="15" hidden="false" customHeight="true" outlineLevel="0" collapsed="false">
      <c r="A89" s="22" t="n">
        <v>88</v>
      </c>
      <c r="B89" s="25"/>
      <c r="C89" s="22"/>
      <c r="D89" s="22"/>
      <c r="E89" s="22"/>
      <c r="F89" s="22"/>
      <c r="G89" s="22"/>
      <c r="H89" s="22"/>
      <c r="I89" s="22"/>
      <c r="J89" s="25"/>
      <c r="K89" s="25"/>
      <c r="L89" s="25"/>
      <c r="M89" s="22"/>
    </row>
    <row r="90" customFormat="false" ht="15" hidden="false" customHeight="true" outlineLevel="0" collapsed="false">
      <c r="A90" s="22" t="n">
        <v>89</v>
      </c>
      <c r="B90" s="25"/>
      <c r="C90" s="22"/>
      <c r="D90" s="22"/>
      <c r="E90" s="22"/>
      <c r="F90" s="22"/>
      <c r="G90" s="22"/>
      <c r="H90" s="22"/>
      <c r="I90" s="22"/>
      <c r="J90" s="25"/>
      <c r="K90" s="25"/>
      <c r="L90" s="25"/>
      <c r="M90" s="22"/>
    </row>
    <row r="91" customFormat="false" ht="15" hidden="false" customHeight="true" outlineLevel="0" collapsed="false">
      <c r="A91" s="22" t="n">
        <v>90</v>
      </c>
      <c r="B91" s="25"/>
      <c r="C91" s="22"/>
      <c r="D91" s="22"/>
      <c r="E91" s="22"/>
      <c r="F91" s="22"/>
      <c r="G91" s="22"/>
      <c r="H91" s="22"/>
      <c r="I91" s="22"/>
      <c r="J91" s="25"/>
      <c r="K91" s="25"/>
      <c r="L91" s="25"/>
      <c r="M91" s="22"/>
    </row>
    <row r="92" customFormat="false" ht="15" hidden="false" customHeight="true" outlineLevel="0" collapsed="false">
      <c r="A92" s="22" t="n">
        <v>91</v>
      </c>
      <c r="B92" s="25"/>
      <c r="C92" s="22"/>
      <c r="D92" s="22"/>
      <c r="E92" s="22"/>
      <c r="F92" s="22"/>
      <c r="G92" s="22"/>
      <c r="H92" s="22"/>
      <c r="I92" s="22"/>
      <c r="J92" s="25"/>
      <c r="K92" s="25"/>
      <c r="L92" s="25"/>
      <c r="M92" s="22"/>
    </row>
    <row r="93" customFormat="false" ht="15" hidden="false" customHeight="true" outlineLevel="0" collapsed="false">
      <c r="A93" s="22" t="n">
        <v>92</v>
      </c>
      <c r="B93" s="25"/>
      <c r="C93" s="22"/>
      <c r="D93" s="22"/>
      <c r="E93" s="22"/>
      <c r="F93" s="22"/>
      <c r="G93" s="22"/>
      <c r="H93" s="22"/>
      <c r="I93" s="22"/>
      <c r="J93" s="25"/>
      <c r="K93" s="25"/>
      <c r="L93" s="25"/>
      <c r="M93" s="22"/>
    </row>
    <row r="94" customFormat="false" ht="15" hidden="false" customHeight="true" outlineLevel="0" collapsed="false">
      <c r="A94" s="22" t="n">
        <v>93</v>
      </c>
      <c r="B94" s="25"/>
      <c r="C94" s="22"/>
      <c r="D94" s="22"/>
      <c r="E94" s="22"/>
      <c r="F94" s="22"/>
      <c r="G94" s="22"/>
      <c r="H94" s="22"/>
      <c r="I94" s="22"/>
      <c r="J94" s="25"/>
      <c r="K94" s="25"/>
      <c r="L94" s="25"/>
      <c r="M94" s="22"/>
    </row>
    <row r="95" customFormat="false" ht="15" hidden="false" customHeight="true" outlineLevel="0" collapsed="false">
      <c r="A95" s="22" t="n">
        <v>94</v>
      </c>
      <c r="B95" s="25"/>
      <c r="C95" s="22"/>
      <c r="D95" s="22"/>
      <c r="E95" s="22"/>
      <c r="F95" s="22"/>
      <c r="G95" s="22"/>
      <c r="H95" s="22"/>
      <c r="I95" s="22"/>
      <c r="J95" s="25"/>
      <c r="K95" s="25"/>
      <c r="L95" s="25"/>
      <c r="M95" s="22"/>
    </row>
    <row r="96" customFormat="false" ht="15" hidden="false" customHeight="true" outlineLevel="0" collapsed="false">
      <c r="A96" s="22" t="n">
        <v>95</v>
      </c>
      <c r="B96" s="25"/>
      <c r="C96" s="22"/>
      <c r="D96" s="22"/>
      <c r="E96" s="22"/>
      <c r="F96" s="22"/>
      <c r="G96" s="22"/>
      <c r="H96" s="22"/>
      <c r="I96" s="22"/>
      <c r="J96" s="25"/>
      <c r="K96" s="25"/>
      <c r="L96" s="25"/>
      <c r="M96" s="22"/>
    </row>
    <row r="97" customFormat="false" ht="15" hidden="false" customHeight="true" outlineLevel="0" collapsed="false">
      <c r="A97" s="22" t="n">
        <v>96</v>
      </c>
      <c r="B97" s="25"/>
      <c r="C97" s="22"/>
      <c r="D97" s="22"/>
      <c r="E97" s="22"/>
      <c r="F97" s="22"/>
      <c r="G97" s="22"/>
      <c r="H97" s="22"/>
      <c r="I97" s="22"/>
      <c r="J97" s="25"/>
      <c r="K97" s="25"/>
      <c r="L97" s="25"/>
      <c r="M97" s="22"/>
    </row>
    <row r="98" customFormat="false" ht="15" hidden="false" customHeight="true" outlineLevel="0" collapsed="false">
      <c r="A98" s="22" t="n">
        <v>97</v>
      </c>
      <c r="B98" s="25"/>
      <c r="C98" s="22"/>
      <c r="D98" s="22"/>
      <c r="E98" s="22"/>
      <c r="F98" s="22"/>
      <c r="G98" s="22"/>
      <c r="H98" s="22"/>
      <c r="I98" s="22"/>
      <c r="J98" s="25"/>
      <c r="K98" s="25"/>
      <c r="L98" s="25"/>
      <c r="M98" s="22"/>
    </row>
    <row r="99" customFormat="false" ht="15" hidden="false" customHeight="true" outlineLevel="0" collapsed="false">
      <c r="A99" s="22" t="n">
        <v>98</v>
      </c>
      <c r="B99" s="25"/>
      <c r="C99" s="22"/>
      <c r="D99" s="22"/>
      <c r="E99" s="22"/>
      <c r="F99" s="22"/>
      <c r="G99" s="22"/>
      <c r="H99" s="22"/>
      <c r="I99" s="22"/>
      <c r="J99" s="25"/>
      <c r="K99" s="25"/>
      <c r="L99" s="25"/>
      <c r="M99" s="22"/>
    </row>
    <row r="100" customFormat="false" ht="15" hidden="false" customHeight="true" outlineLevel="0" collapsed="false">
      <c r="A100" s="22" t="n">
        <v>99</v>
      </c>
      <c r="B100" s="25"/>
      <c r="C100" s="22"/>
      <c r="D100" s="22"/>
      <c r="E100" s="22"/>
      <c r="F100" s="22"/>
      <c r="G100" s="22"/>
      <c r="H100" s="22"/>
      <c r="I100" s="22"/>
      <c r="J100" s="25"/>
      <c r="K100" s="25"/>
      <c r="L100" s="25"/>
      <c r="M100" s="22"/>
    </row>
    <row r="101" customFormat="false" ht="15" hidden="false" customHeight="true" outlineLevel="0" collapsed="false">
      <c r="A101" s="22" t="n">
        <v>100</v>
      </c>
      <c r="B101" s="25"/>
      <c r="C101" s="22"/>
      <c r="D101" s="22"/>
      <c r="E101" s="22"/>
      <c r="F101" s="22"/>
      <c r="G101" s="22"/>
      <c r="H101" s="22"/>
      <c r="I101" s="22"/>
      <c r="J101" s="25"/>
      <c r="K101" s="25"/>
      <c r="L101" s="25"/>
      <c r="M101" s="22"/>
    </row>
    <row r="102" customFormat="false" ht="15" hidden="false" customHeight="true" outlineLevel="0" collapsed="false">
      <c r="A102" s="22" t="n">
        <v>101</v>
      </c>
      <c r="B102" s="25"/>
      <c r="C102" s="22"/>
      <c r="D102" s="22"/>
      <c r="E102" s="22"/>
      <c r="F102" s="22"/>
      <c r="G102" s="22"/>
      <c r="H102" s="22"/>
      <c r="I102" s="22"/>
      <c r="J102" s="25"/>
      <c r="K102" s="25"/>
      <c r="L102" s="25"/>
      <c r="M102" s="22"/>
    </row>
    <row r="103" customFormat="false" ht="15" hidden="false" customHeight="true" outlineLevel="0" collapsed="false">
      <c r="A103" s="22" t="n">
        <v>102</v>
      </c>
      <c r="B103" s="25"/>
      <c r="C103" s="22"/>
      <c r="D103" s="22"/>
      <c r="E103" s="22"/>
      <c r="F103" s="22"/>
      <c r="G103" s="22"/>
      <c r="H103" s="22"/>
      <c r="I103" s="22"/>
      <c r="J103" s="25"/>
      <c r="K103" s="25"/>
      <c r="L103" s="25"/>
      <c r="M103" s="22"/>
    </row>
    <row r="104" customFormat="false" ht="15" hidden="false" customHeight="true" outlineLevel="0" collapsed="false">
      <c r="A104" s="22" t="n">
        <v>103</v>
      </c>
      <c r="B104" s="25"/>
      <c r="C104" s="22"/>
      <c r="D104" s="22"/>
      <c r="E104" s="22"/>
      <c r="F104" s="22"/>
      <c r="G104" s="22"/>
      <c r="H104" s="22"/>
      <c r="I104" s="22"/>
      <c r="J104" s="25"/>
      <c r="K104" s="25"/>
      <c r="L104" s="25"/>
      <c r="M104" s="22"/>
    </row>
    <row r="105" customFormat="false" ht="15" hidden="false" customHeight="true" outlineLevel="0" collapsed="false">
      <c r="A105" s="22" t="n">
        <v>104</v>
      </c>
      <c r="B105" s="25"/>
      <c r="C105" s="22"/>
      <c r="D105" s="22"/>
      <c r="E105" s="22"/>
      <c r="F105" s="22"/>
      <c r="G105" s="22"/>
      <c r="H105" s="22"/>
      <c r="I105" s="22"/>
      <c r="J105" s="25"/>
      <c r="K105" s="25"/>
      <c r="L105" s="25"/>
      <c r="M105" s="22"/>
    </row>
    <row r="106" customFormat="false" ht="15" hidden="false" customHeight="true" outlineLevel="0" collapsed="false">
      <c r="A106" s="22" t="n">
        <v>105</v>
      </c>
      <c r="B106" s="25"/>
      <c r="C106" s="22"/>
      <c r="D106" s="22"/>
      <c r="E106" s="22"/>
      <c r="F106" s="22"/>
      <c r="G106" s="22"/>
      <c r="H106" s="22"/>
      <c r="I106" s="22"/>
      <c r="J106" s="25"/>
      <c r="K106" s="25"/>
      <c r="L106" s="25"/>
      <c r="M106" s="22"/>
    </row>
    <row r="107" customFormat="false" ht="15" hidden="false" customHeight="true" outlineLevel="0" collapsed="false">
      <c r="A107" s="22" t="n">
        <v>106</v>
      </c>
      <c r="B107" s="25"/>
      <c r="C107" s="22"/>
      <c r="D107" s="22"/>
      <c r="E107" s="22"/>
      <c r="F107" s="22"/>
      <c r="G107" s="22"/>
      <c r="H107" s="22"/>
      <c r="I107" s="22"/>
      <c r="J107" s="25"/>
      <c r="K107" s="25"/>
      <c r="L107" s="25"/>
      <c r="M107" s="22"/>
    </row>
    <row r="108" customFormat="false" ht="15" hidden="false" customHeight="true" outlineLevel="0" collapsed="false">
      <c r="A108" s="22" t="n">
        <v>107</v>
      </c>
      <c r="B108" s="25"/>
      <c r="C108" s="22"/>
      <c r="D108" s="22"/>
      <c r="E108" s="22"/>
      <c r="F108" s="22"/>
      <c r="G108" s="22"/>
      <c r="H108" s="22"/>
      <c r="I108" s="22"/>
      <c r="J108" s="25"/>
      <c r="K108" s="25"/>
      <c r="L108" s="25"/>
      <c r="M108" s="22"/>
    </row>
    <row r="109" customFormat="false" ht="15" hidden="false" customHeight="true" outlineLevel="0" collapsed="false">
      <c r="A109" s="22" t="n">
        <v>108</v>
      </c>
      <c r="B109" s="25"/>
      <c r="C109" s="22"/>
      <c r="D109" s="22"/>
      <c r="E109" s="22"/>
      <c r="F109" s="22"/>
      <c r="G109" s="22"/>
      <c r="H109" s="22"/>
      <c r="I109" s="22"/>
      <c r="J109" s="25"/>
      <c r="K109" s="25"/>
      <c r="L109" s="25"/>
      <c r="M109" s="22"/>
    </row>
    <row r="110" customFormat="false" ht="15" hidden="false" customHeight="true" outlineLevel="0" collapsed="false">
      <c r="A110" s="22" t="n">
        <v>109</v>
      </c>
      <c r="B110" s="25"/>
      <c r="C110" s="22"/>
      <c r="D110" s="22"/>
      <c r="E110" s="22"/>
      <c r="F110" s="22"/>
      <c r="G110" s="22"/>
      <c r="H110" s="22"/>
      <c r="I110" s="22"/>
      <c r="J110" s="25"/>
      <c r="K110" s="25"/>
      <c r="L110" s="25"/>
      <c r="M110" s="22"/>
    </row>
    <row r="111" customFormat="false" ht="15" hidden="false" customHeight="true" outlineLevel="0" collapsed="false">
      <c r="A111" s="22" t="n">
        <v>110</v>
      </c>
      <c r="B111" s="25"/>
      <c r="C111" s="22"/>
      <c r="D111" s="22"/>
      <c r="E111" s="22"/>
      <c r="F111" s="22"/>
      <c r="G111" s="22"/>
      <c r="H111" s="22"/>
      <c r="I111" s="22"/>
      <c r="J111" s="25"/>
      <c r="K111" s="25"/>
      <c r="L111" s="25"/>
      <c r="M111" s="22"/>
    </row>
    <row r="112" customFormat="false" ht="15" hidden="false" customHeight="true" outlineLevel="0" collapsed="false">
      <c r="A112" s="22" t="n">
        <v>111</v>
      </c>
      <c r="B112" s="25"/>
      <c r="C112" s="22"/>
      <c r="D112" s="22"/>
      <c r="E112" s="22"/>
      <c r="F112" s="22"/>
      <c r="G112" s="22"/>
      <c r="H112" s="22"/>
      <c r="I112" s="22"/>
      <c r="J112" s="25"/>
      <c r="K112" s="25"/>
      <c r="L112" s="25"/>
      <c r="M112" s="22"/>
    </row>
    <row r="113" customFormat="false" ht="15" hidden="false" customHeight="true" outlineLevel="0" collapsed="false">
      <c r="A113" s="22" t="n">
        <v>112</v>
      </c>
      <c r="B113" s="25"/>
      <c r="C113" s="22"/>
      <c r="D113" s="22"/>
      <c r="E113" s="22"/>
      <c r="F113" s="22"/>
      <c r="G113" s="22"/>
      <c r="H113" s="22"/>
      <c r="I113" s="22"/>
      <c r="J113" s="25"/>
      <c r="K113" s="25"/>
      <c r="L113" s="25"/>
      <c r="M113" s="22"/>
    </row>
    <row r="114" customFormat="false" ht="15" hidden="false" customHeight="true" outlineLevel="0" collapsed="false">
      <c r="A114" s="22" t="n">
        <v>113</v>
      </c>
      <c r="B114" s="25"/>
      <c r="C114" s="22"/>
      <c r="D114" s="22"/>
      <c r="E114" s="22"/>
      <c r="F114" s="22"/>
      <c r="G114" s="22"/>
      <c r="H114" s="22"/>
      <c r="I114" s="22"/>
      <c r="J114" s="25"/>
      <c r="K114" s="25"/>
      <c r="L114" s="25"/>
      <c r="M114" s="22"/>
    </row>
    <row r="115" customFormat="false" ht="15" hidden="false" customHeight="true" outlineLevel="0" collapsed="false">
      <c r="A115" s="22" t="n">
        <v>114</v>
      </c>
      <c r="B115" s="25"/>
      <c r="C115" s="22"/>
      <c r="D115" s="22"/>
      <c r="E115" s="22"/>
      <c r="F115" s="22"/>
      <c r="G115" s="22"/>
      <c r="H115" s="22"/>
      <c r="I115" s="22"/>
      <c r="J115" s="25"/>
      <c r="K115" s="25"/>
      <c r="L115" s="25"/>
      <c r="M115" s="22"/>
    </row>
    <row r="116" customFormat="false" ht="15" hidden="false" customHeight="true" outlineLevel="0" collapsed="false">
      <c r="A116" s="22" t="n">
        <v>115</v>
      </c>
      <c r="B116" s="25"/>
      <c r="C116" s="22"/>
      <c r="D116" s="22"/>
      <c r="E116" s="22"/>
      <c r="F116" s="22"/>
      <c r="G116" s="22"/>
      <c r="H116" s="22"/>
      <c r="I116" s="22"/>
      <c r="J116" s="25"/>
      <c r="K116" s="25"/>
      <c r="L116" s="25"/>
      <c r="M116" s="22"/>
    </row>
    <row r="117" customFormat="false" ht="15" hidden="false" customHeight="true" outlineLevel="0" collapsed="false">
      <c r="A117" s="22" t="n">
        <v>116</v>
      </c>
      <c r="B117" s="25"/>
      <c r="C117" s="22"/>
      <c r="D117" s="22"/>
      <c r="E117" s="22"/>
      <c r="F117" s="22"/>
      <c r="G117" s="22"/>
      <c r="H117" s="22"/>
      <c r="I117" s="22"/>
      <c r="J117" s="25"/>
      <c r="K117" s="25"/>
      <c r="L117" s="25"/>
      <c r="M117" s="22"/>
    </row>
    <row r="118" customFormat="false" ht="15" hidden="false" customHeight="true" outlineLevel="0" collapsed="false">
      <c r="A118" s="22" t="n">
        <v>117</v>
      </c>
      <c r="B118" s="25"/>
      <c r="C118" s="22"/>
      <c r="D118" s="22"/>
      <c r="E118" s="22"/>
      <c r="F118" s="22"/>
      <c r="G118" s="22"/>
      <c r="H118" s="22"/>
      <c r="I118" s="22"/>
      <c r="J118" s="25"/>
      <c r="K118" s="25"/>
      <c r="L118" s="25"/>
      <c r="M118" s="22"/>
    </row>
    <row r="119" customFormat="false" ht="15" hidden="false" customHeight="true" outlineLevel="0" collapsed="false">
      <c r="A119" s="22" t="n">
        <v>118</v>
      </c>
      <c r="B119" s="25"/>
      <c r="C119" s="22"/>
      <c r="D119" s="22"/>
      <c r="E119" s="22"/>
      <c r="F119" s="22"/>
      <c r="G119" s="22"/>
      <c r="H119" s="22"/>
      <c r="I119" s="22"/>
      <c r="J119" s="25"/>
      <c r="K119" s="25"/>
      <c r="L119" s="25"/>
      <c r="M119" s="22"/>
    </row>
    <row r="120" customFormat="false" ht="15" hidden="false" customHeight="true" outlineLevel="0" collapsed="false">
      <c r="A120" s="22" t="n">
        <v>119</v>
      </c>
      <c r="B120" s="25"/>
      <c r="C120" s="22"/>
      <c r="D120" s="22"/>
      <c r="E120" s="22"/>
      <c r="F120" s="22"/>
      <c r="G120" s="22"/>
      <c r="H120" s="22"/>
      <c r="I120" s="22"/>
      <c r="J120" s="25"/>
      <c r="K120" s="25"/>
      <c r="L120" s="25"/>
      <c r="M120" s="22"/>
    </row>
    <row r="121" customFormat="false" ht="15" hidden="false" customHeight="true" outlineLevel="0" collapsed="false">
      <c r="A121" s="22" t="n">
        <v>120</v>
      </c>
      <c r="B121" s="25"/>
      <c r="C121" s="22"/>
      <c r="D121" s="22"/>
      <c r="E121" s="22"/>
      <c r="F121" s="22"/>
      <c r="G121" s="22"/>
      <c r="H121" s="22"/>
      <c r="I121" s="22"/>
      <c r="J121" s="25"/>
      <c r="K121" s="25"/>
      <c r="L121" s="25"/>
      <c r="M121" s="22"/>
    </row>
    <row r="122" customFormat="false" ht="15" hidden="false" customHeight="true" outlineLevel="0" collapsed="false">
      <c r="A122" s="22" t="n">
        <v>121</v>
      </c>
      <c r="B122" s="25"/>
      <c r="C122" s="22"/>
      <c r="D122" s="22"/>
      <c r="E122" s="22"/>
      <c r="F122" s="22"/>
      <c r="G122" s="22"/>
      <c r="H122" s="22"/>
      <c r="I122" s="22"/>
      <c r="J122" s="25"/>
      <c r="K122" s="25"/>
      <c r="L122" s="25"/>
      <c r="M122" s="22"/>
    </row>
    <row r="123" customFormat="false" ht="15" hidden="false" customHeight="true" outlineLevel="0" collapsed="false">
      <c r="A123" s="22" t="n">
        <v>122</v>
      </c>
      <c r="B123" s="25"/>
      <c r="C123" s="22"/>
      <c r="D123" s="22"/>
      <c r="E123" s="22"/>
      <c r="F123" s="22"/>
      <c r="G123" s="22"/>
      <c r="H123" s="22"/>
      <c r="I123" s="22"/>
      <c r="J123" s="25"/>
      <c r="K123" s="25"/>
      <c r="L123" s="25"/>
      <c r="M123" s="22"/>
    </row>
    <row r="124" customFormat="false" ht="15" hidden="false" customHeight="true" outlineLevel="0" collapsed="false">
      <c r="A124" s="22" t="n">
        <v>123</v>
      </c>
      <c r="B124" s="25"/>
      <c r="C124" s="22"/>
      <c r="D124" s="22"/>
      <c r="E124" s="22"/>
      <c r="F124" s="22"/>
      <c r="G124" s="22"/>
      <c r="H124" s="22"/>
      <c r="I124" s="22"/>
      <c r="J124" s="25"/>
      <c r="K124" s="25"/>
      <c r="L124" s="25"/>
      <c r="M124" s="22"/>
    </row>
    <row r="125" customFormat="false" ht="15" hidden="false" customHeight="true" outlineLevel="0" collapsed="false">
      <c r="A125" s="22" t="n">
        <v>124</v>
      </c>
      <c r="B125" s="25"/>
      <c r="C125" s="22"/>
      <c r="D125" s="22"/>
      <c r="E125" s="22"/>
      <c r="F125" s="22"/>
      <c r="G125" s="22"/>
      <c r="H125" s="22"/>
      <c r="I125" s="22"/>
      <c r="J125" s="25"/>
      <c r="K125" s="25"/>
      <c r="L125" s="25"/>
      <c r="M125" s="22"/>
    </row>
    <row r="126" customFormat="false" ht="15" hidden="false" customHeight="true" outlineLevel="0" collapsed="false">
      <c r="A126" s="22" t="n">
        <v>125</v>
      </c>
      <c r="B126" s="25"/>
      <c r="C126" s="22"/>
      <c r="D126" s="22"/>
      <c r="E126" s="22"/>
      <c r="F126" s="22"/>
      <c r="G126" s="22"/>
      <c r="H126" s="22"/>
      <c r="I126" s="22"/>
      <c r="J126" s="25"/>
      <c r="K126" s="25"/>
      <c r="L126" s="25"/>
      <c r="M126" s="22"/>
    </row>
    <row r="127" customFormat="false" ht="15" hidden="false" customHeight="true" outlineLevel="0" collapsed="false">
      <c r="A127" s="22" t="n">
        <v>126</v>
      </c>
      <c r="B127" s="25"/>
      <c r="C127" s="22"/>
      <c r="D127" s="22"/>
      <c r="E127" s="22"/>
      <c r="F127" s="22"/>
      <c r="G127" s="22"/>
      <c r="H127" s="22"/>
      <c r="I127" s="22"/>
      <c r="J127" s="25"/>
      <c r="K127" s="25"/>
      <c r="L127" s="25"/>
      <c r="M127" s="22"/>
    </row>
    <row r="128" customFormat="false" ht="15" hidden="false" customHeight="true" outlineLevel="0" collapsed="false">
      <c r="A128" s="22" t="n">
        <v>127</v>
      </c>
      <c r="B128" s="25"/>
      <c r="C128" s="22"/>
      <c r="D128" s="22"/>
      <c r="E128" s="22"/>
      <c r="F128" s="22"/>
      <c r="G128" s="22"/>
      <c r="H128" s="22"/>
      <c r="I128" s="22"/>
      <c r="J128" s="25"/>
      <c r="K128" s="25"/>
      <c r="L128" s="25"/>
      <c r="M128" s="22"/>
    </row>
    <row r="129" customFormat="false" ht="15" hidden="false" customHeight="true" outlineLevel="0" collapsed="false">
      <c r="A129" s="22" t="n">
        <v>128</v>
      </c>
      <c r="B129" s="25"/>
      <c r="C129" s="22"/>
      <c r="D129" s="22"/>
      <c r="E129" s="22"/>
      <c r="F129" s="22"/>
      <c r="G129" s="22"/>
      <c r="H129" s="22"/>
      <c r="I129" s="22"/>
      <c r="J129" s="25"/>
      <c r="K129" s="25"/>
      <c r="L129" s="25"/>
      <c r="M129" s="22"/>
    </row>
    <row r="130" customFormat="false" ht="15" hidden="false" customHeight="true" outlineLevel="0" collapsed="false">
      <c r="A130" s="22" t="n">
        <v>129</v>
      </c>
      <c r="B130" s="25"/>
      <c r="C130" s="22"/>
      <c r="D130" s="22"/>
      <c r="E130" s="22"/>
      <c r="F130" s="22"/>
      <c r="G130" s="22"/>
      <c r="H130" s="22"/>
      <c r="I130" s="22"/>
      <c r="J130" s="25"/>
      <c r="K130" s="25"/>
      <c r="L130" s="25"/>
      <c r="M130" s="22"/>
    </row>
    <row r="131" customFormat="false" ht="15" hidden="false" customHeight="true" outlineLevel="0" collapsed="false">
      <c r="A131" s="22" t="n">
        <v>130</v>
      </c>
      <c r="B131" s="25"/>
      <c r="C131" s="22"/>
      <c r="D131" s="22"/>
      <c r="E131" s="22"/>
      <c r="F131" s="22"/>
      <c r="G131" s="22"/>
      <c r="H131" s="22"/>
      <c r="I131" s="22"/>
      <c r="J131" s="25"/>
      <c r="K131" s="25"/>
      <c r="L131" s="25"/>
      <c r="M131" s="22"/>
    </row>
    <row r="132" customFormat="false" ht="15" hidden="false" customHeight="true" outlineLevel="0" collapsed="false">
      <c r="A132" s="22" t="n">
        <v>131</v>
      </c>
      <c r="B132" s="25"/>
      <c r="C132" s="22"/>
      <c r="D132" s="22"/>
      <c r="E132" s="22"/>
      <c r="F132" s="22"/>
      <c r="G132" s="22"/>
      <c r="H132" s="22"/>
      <c r="I132" s="22"/>
      <c r="J132" s="25"/>
      <c r="K132" s="25"/>
      <c r="L132" s="25"/>
      <c r="M132" s="22"/>
    </row>
    <row r="133" customFormat="false" ht="15" hidden="false" customHeight="true" outlineLevel="0" collapsed="false">
      <c r="A133" s="22" t="n">
        <v>132</v>
      </c>
      <c r="B133" s="25"/>
      <c r="C133" s="22"/>
      <c r="D133" s="22"/>
      <c r="E133" s="22"/>
      <c r="F133" s="22"/>
      <c r="G133" s="22"/>
      <c r="H133" s="22"/>
      <c r="I133" s="22"/>
      <c r="J133" s="25"/>
      <c r="K133" s="25"/>
      <c r="L133" s="25"/>
      <c r="M133" s="22"/>
    </row>
    <row r="134" customFormat="false" ht="15" hidden="false" customHeight="true" outlineLevel="0" collapsed="false">
      <c r="A134" s="22" t="n">
        <v>133</v>
      </c>
      <c r="B134" s="25"/>
      <c r="C134" s="22"/>
      <c r="D134" s="22"/>
      <c r="E134" s="22"/>
      <c r="F134" s="22"/>
      <c r="G134" s="22"/>
      <c r="H134" s="22"/>
      <c r="I134" s="22"/>
      <c r="J134" s="25"/>
      <c r="K134" s="25"/>
      <c r="L134" s="25"/>
      <c r="M134" s="22"/>
    </row>
    <row r="135" customFormat="false" ht="15" hidden="false" customHeight="true" outlineLevel="0" collapsed="false">
      <c r="A135" s="22" t="n">
        <v>134</v>
      </c>
      <c r="B135" s="25"/>
      <c r="C135" s="22"/>
      <c r="D135" s="22"/>
      <c r="E135" s="22"/>
      <c r="F135" s="22"/>
      <c r="G135" s="22"/>
      <c r="H135" s="22"/>
      <c r="I135" s="22"/>
      <c r="J135" s="25"/>
      <c r="K135" s="25"/>
      <c r="L135" s="25"/>
      <c r="M135" s="22"/>
    </row>
    <row r="136" customFormat="false" ht="15" hidden="false" customHeight="true" outlineLevel="0" collapsed="false">
      <c r="A136" s="22" t="n">
        <v>135</v>
      </c>
      <c r="B136" s="25"/>
      <c r="C136" s="22"/>
      <c r="D136" s="22"/>
      <c r="E136" s="22"/>
      <c r="F136" s="22"/>
      <c r="G136" s="22"/>
      <c r="H136" s="22"/>
      <c r="I136" s="22"/>
      <c r="J136" s="25"/>
      <c r="K136" s="25"/>
      <c r="L136" s="25"/>
      <c r="M136" s="22"/>
    </row>
    <row r="137" customFormat="false" ht="15" hidden="false" customHeight="true" outlineLevel="0" collapsed="false">
      <c r="A137" s="22" t="n">
        <v>136</v>
      </c>
      <c r="B137" s="25"/>
      <c r="C137" s="22"/>
      <c r="D137" s="22"/>
      <c r="E137" s="22"/>
      <c r="F137" s="22"/>
      <c r="G137" s="22"/>
      <c r="H137" s="22"/>
      <c r="I137" s="22"/>
      <c r="J137" s="25"/>
      <c r="K137" s="25"/>
      <c r="L137" s="25"/>
      <c r="M137" s="22"/>
    </row>
    <row r="138" customFormat="false" ht="15" hidden="false" customHeight="true" outlineLevel="0" collapsed="false">
      <c r="A138" s="22" t="n">
        <v>137</v>
      </c>
      <c r="B138" s="25"/>
      <c r="C138" s="22"/>
      <c r="D138" s="22"/>
      <c r="E138" s="22"/>
      <c r="F138" s="22"/>
      <c r="G138" s="22"/>
      <c r="H138" s="22"/>
      <c r="I138" s="22"/>
      <c r="J138" s="25"/>
      <c r="K138" s="25"/>
      <c r="L138" s="25"/>
      <c r="M138" s="22"/>
    </row>
    <row r="139" customFormat="false" ht="15" hidden="false" customHeight="true" outlineLevel="0" collapsed="false">
      <c r="A139" s="22" t="n">
        <v>138</v>
      </c>
      <c r="B139" s="25"/>
      <c r="C139" s="22"/>
      <c r="D139" s="22"/>
      <c r="E139" s="22"/>
      <c r="F139" s="22"/>
      <c r="G139" s="22"/>
      <c r="H139" s="22"/>
      <c r="I139" s="22"/>
      <c r="J139" s="25"/>
      <c r="K139" s="25"/>
      <c r="L139" s="25"/>
      <c r="M139" s="22"/>
    </row>
    <row r="140" customFormat="false" ht="15" hidden="false" customHeight="true" outlineLevel="0" collapsed="false">
      <c r="A140" s="22" t="n">
        <v>139</v>
      </c>
      <c r="B140" s="25"/>
      <c r="C140" s="22"/>
      <c r="D140" s="22"/>
      <c r="E140" s="22"/>
      <c r="F140" s="22"/>
      <c r="G140" s="22"/>
      <c r="H140" s="22"/>
      <c r="I140" s="22"/>
      <c r="J140" s="25"/>
      <c r="K140" s="25"/>
      <c r="L140" s="25"/>
      <c r="M140" s="22"/>
    </row>
    <row r="141" customFormat="false" ht="15" hidden="false" customHeight="true" outlineLevel="0" collapsed="false">
      <c r="A141" s="22" t="n">
        <v>140</v>
      </c>
      <c r="B141" s="25"/>
      <c r="C141" s="22"/>
      <c r="D141" s="22"/>
      <c r="E141" s="22"/>
      <c r="F141" s="22"/>
      <c r="G141" s="22"/>
      <c r="H141" s="22"/>
      <c r="I141" s="22"/>
      <c r="J141" s="25"/>
      <c r="K141" s="25"/>
      <c r="L141" s="25"/>
      <c r="M141" s="22"/>
    </row>
    <row r="142" customFormat="false" ht="15" hidden="false" customHeight="true" outlineLevel="0" collapsed="false">
      <c r="A142" s="22" t="n">
        <v>141</v>
      </c>
      <c r="B142" s="25"/>
      <c r="C142" s="22"/>
      <c r="D142" s="22"/>
      <c r="E142" s="22"/>
      <c r="F142" s="22"/>
      <c r="G142" s="22"/>
      <c r="H142" s="22"/>
      <c r="I142" s="22"/>
      <c r="J142" s="25"/>
      <c r="K142" s="25"/>
      <c r="L142" s="25"/>
      <c r="M142" s="22"/>
    </row>
    <row r="143" customFormat="false" ht="15" hidden="false" customHeight="true" outlineLevel="0" collapsed="false">
      <c r="A143" s="22" t="n">
        <v>142</v>
      </c>
      <c r="B143" s="25"/>
      <c r="C143" s="22"/>
      <c r="D143" s="22"/>
      <c r="E143" s="22"/>
      <c r="F143" s="22"/>
      <c r="G143" s="22"/>
      <c r="H143" s="22"/>
      <c r="I143" s="22"/>
      <c r="J143" s="25"/>
      <c r="K143" s="25"/>
      <c r="L143" s="25"/>
      <c r="M143" s="22"/>
    </row>
    <row r="144" customFormat="false" ht="15" hidden="false" customHeight="true" outlineLevel="0" collapsed="false">
      <c r="A144" s="22" t="n">
        <v>143</v>
      </c>
      <c r="B144" s="25"/>
      <c r="C144" s="22"/>
      <c r="D144" s="22"/>
      <c r="E144" s="22"/>
      <c r="F144" s="22"/>
      <c r="G144" s="22"/>
      <c r="H144" s="22"/>
      <c r="I144" s="22"/>
      <c r="J144" s="25"/>
      <c r="K144" s="25"/>
      <c r="L144" s="25"/>
      <c r="M144" s="22"/>
    </row>
    <row r="145" customFormat="false" ht="15" hidden="false" customHeight="true" outlineLevel="0" collapsed="false">
      <c r="A145" s="22" t="n">
        <v>144</v>
      </c>
      <c r="B145" s="25"/>
      <c r="C145" s="22"/>
      <c r="D145" s="22"/>
      <c r="E145" s="22"/>
      <c r="F145" s="22"/>
      <c r="G145" s="22"/>
      <c r="H145" s="22"/>
      <c r="I145" s="22"/>
      <c r="J145" s="25"/>
      <c r="K145" s="25"/>
      <c r="L145" s="25"/>
      <c r="M145" s="22"/>
    </row>
    <row r="146" customFormat="false" ht="15" hidden="false" customHeight="true" outlineLevel="0" collapsed="false">
      <c r="A146" s="22" t="n">
        <v>145</v>
      </c>
      <c r="B146" s="25"/>
      <c r="C146" s="22"/>
      <c r="D146" s="22"/>
      <c r="E146" s="22"/>
      <c r="F146" s="22"/>
      <c r="G146" s="22"/>
      <c r="H146" s="22"/>
      <c r="I146" s="22"/>
      <c r="J146" s="25"/>
      <c r="K146" s="25"/>
      <c r="L146" s="25"/>
      <c r="M146" s="22"/>
    </row>
    <row r="147" customFormat="false" ht="15" hidden="false" customHeight="true" outlineLevel="0" collapsed="false">
      <c r="A147" s="22" t="n">
        <v>146</v>
      </c>
      <c r="B147" s="25"/>
      <c r="C147" s="22"/>
      <c r="D147" s="22"/>
      <c r="E147" s="22"/>
      <c r="F147" s="22"/>
      <c r="G147" s="22"/>
      <c r="H147" s="22"/>
      <c r="I147" s="22"/>
      <c r="J147" s="25"/>
      <c r="K147" s="25"/>
      <c r="L147" s="25"/>
      <c r="M147" s="22"/>
    </row>
    <row r="148" customFormat="false" ht="15" hidden="false" customHeight="true" outlineLevel="0" collapsed="false">
      <c r="A148" s="22" t="n">
        <v>147</v>
      </c>
      <c r="B148" s="25"/>
      <c r="C148" s="22"/>
      <c r="D148" s="22"/>
      <c r="E148" s="22"/>
      <c r="F148" s="22"/>
      <c r="G148" s="22"/>
      <c r="H148" s="22"/>
      <c r="I148" s="22"/>
      <c r="J148" s="25"/>
      <c r="K148" s="25"/>
      <c r="L148" s="25"/>
      <c r="M148" s="22"/>
    </row>
    <row r="149" customFormat="false" ht="15" hidden="false" customHeight="true" outlineLevel="0" collapsed="false">
      <c r="A149" s="22" t="n">
        <v>148</v>
      </c>
      <c r="B149" s="25"/>
      <c r="C149" s="22"/>
      <c r="D149" s="22"/>
      <c r="E149" s="22"/>
      <c r="F149" s="22"/>
      <c r="G149" s="22"/>
      <c r="H149" s="22"/>
      <c r="I149" s="22"/>
      <c r="J149" s="25"/>
      <c r="K149" s="25"/>
      <c r="L149" s="25"/>
      <c r="M149" s="22"/>
    </row>
    <row r="150" customFormat="false" ht="15" hidden="false" customHeight="true" outlineLevel="0" collapsed="false">
      <c r="A150" s="22" t="n">
        <v>149</v>
      </c>
      <c r="B150" s="25"/>
      <c r="C150" s="22"/>
      <c r="D150" s="22"/>
      <c r="E150" s="22"/>
      <c r="F150" s="22"/>
      <c r="G150" s="22"/>
      <c r="H150" s="22"/>
      <c r="I150" s="22"/>
      <c r="J150" s="25"/>
      <c r="K150" s="25"/>
      <c r="L150" s="25"/>
      <c r="M150" s="22"/>
    </row>
    <row r="151" customFormat="false" ht="15" hidden="false" customHeight="true" outlineLevel="0" collapsed="false">
      <c r="A151" s="22" t="n">
        <v>150</v>
      </c>
      <c r="B151" s="25"/>
      <c r="C151" s="22"/>
      <c r="D151" s="22"/>
      <c r="E151" s="22"/>
      <c r="F151" s="22"/>
      <c r="G151" s="22"/>
      <c r="H151" s="22"/>
      <c r="I151" s="22"/>
      <c r="J151" s="25"/>
      <c r="K151" s="25"/>
      <c r="L151" s="25"/>
      <c r="M151" s="22"/>
    </row>
    <row r="152" customFormat="false" ht="15" hidden="false" customHeight="true" outlineLevel="0" collapsed="false">
      <c r="A152" s="22" t="n">
        <v>151</v>
      </c>
      <c r="B152" s="25"/>
      <c r="C152" s="22"/>
      <c r="D152" s="22"/>
      <c r="E152" s="22"/>
      <c r="F152" s="22"/>
      <c r="G152" s="22"/>
      <c r="H152" s="22"/>
      <c r="I152" s="22"/>
      <c r="J152" s="25"/>
      <c r="K152" s="25"/>
      <c r="L152" s="25"/>
      <c r="M152" s="22"/>
    </row>
    <row r="153" customFormat="false" ht="15" hidden="false" customHeight="true" outlineLevel="0" collapsed="false">
      <c r="A153" s="22" t="n">
        <v>152</v>
      </c>
      <c r="B153" s="25"/>
      <c r="C153" s="22"/>
      <c r="D153" s="22"/>
      <c r="E153" s="22"/>
      <c r="F153" s="22"/>
      <c r="G153" s="22"/>
      <c r="H153" s="22"/>
      <c r="I153" s="22"/>
      <c r="J153" s="25"/>
      <c r="K153" s="25"/>
      <c r="L153" s="25"/>
      <c r="M153" s="22"/>
    </row>
    <row r="154" customFormat="false" ht="15" hidden="false" customHeight="true" outlineLevel="0" collapsed="false">
      <c r="A154" s="22" t="n">
        <v>153</v>
      </c>
      <c r="B154" s="25"/>
      <c r="C154" s="22"/>
      <c r="D154" s="22"/>
      <c r="E154" s="22"/>
      <c r="F154" s="22"/>
      <c r="G154" s="22"/>
      <c r="H154" s="22"/>
      <c r="I154" s="22"/>
      <c r="J154" s="25"/>
      <c r="K154" s="25"/>
      <c r="L154" s="25"/>
      <c r="M154" s="22"/>
    </row>
    <row r="155" customFormat="false" ht="15" hidden="false" customHeight="true" outlineLevel="0" collapsed="false">
      <c r="A155" s="22" t="n">
        <v>154</v>
      </c>
      <c r="B155" s="25"/>
      <c r="C155" s="22"/>
      <c r="D155" s="22"/>
      <c r="E155" s="22"/>
      <c r="F155" s="22"/>
      <c r="G155" s="22"/>
      <c r="H155" s="22"/>
      <c r="I155" s="22"/>
      <c r="J155" s="25"/>
      <c r="K155" s="25"/>
      <c r="L155" s="25"/>
      <c r="M155" s="22"/>
    </row>
    <row r="156" customFormat="false" ht="15" hidden="false" customHeight="true" outlineLevel="0" collapsed="false">
      <c r="A156" s="22" t="n">
        <v>155</v>
      </c>
      <c r="B156" s="25"/>
      <c r="C156" s="22"/>
      <c r="D156" s="22"/>
      <c r="E156" s="22"/>
      <c r="F156" s="22"/>
      <c r="G156" s="22"/>
      <c r="H156" s="22"/>
      <c r="I156" s="22"/>
      <c r="J156" s="25"/>
      <c r="K156" s="25"/>
      <c r="L156" s="25"/>
      <c r="M156" s="22"/>
    </row>
    <row r="157" customFormat="false" ht="15" hidden="false" customHeight="true" outlineLevel="0" collapsed="false">
      <c r="A157" s="22" t="n">
        <v>156</v>
      </c>
      <c r="B157" s="25"/>
      <c r="C157" s="22"/>
      <c r="D157" s="22"/>
      <c r="E157" s="22"/>
      <c r="F157" s="22"/>
      <c r="G157" s="22"/>
      <c r="H157" s="22"/>
      <c r="I157" s="22"/>
      <c r="J157" s="25"/>
      <c r="K157" s="25"/>
      <c r="L157" s="25"/>
      <c r="M157" s="22"/>
    </row>
    <row r="158" customFormat="false" ht="15" hidden="false" customHeight="true" outlineLevel="0" collapsed="false">
      <c r="A158" s="22" t="n">
        <v>157</v>
      </c>
      <c r="B158" s="25"/>
      <c r="C158" s="22"/>
      <c r="D158" s="22"/>
      <c r="E158" s="22"/>
      <c r="F158" s="22"/>
      <c r="G158" s="22"/>
      <c r="H158" s="22"/>
      <c r="I158" s="22"/>
      <c r="J158" s="25"/>
      <c r="K158" s="25"/>
      <c r="L158" s="25"/>
      <c r="M158" s="22"/>
    </row>
    <row r="159" customFormat="false" ht="15" hidden="false" customHeight="true" outlineLevel="0" collapsed="false">
      <c r="A159" s="22" t="n">
        <v>158</v>
      </c>
      <c r="B159" s="25"/>
      <c r="C159" s="22"/>
      <c r="D159" s="22"/>
      <c r="E159" s="22"/>
      <c r="F159" s="22"/>
      <c r="G159" s="22"/>
      <c r="H159" s="22"/>
      <c r="I159" s="22"/>
      <c r="J159" s="25"/>
      <c r="K159" s="25"/>
      <c r="L159" s="25"/>
      <c r="M159" s="22"/>
    </row>
    <row r="160" customFormat="false" ht="15" hidden="false" customHeight="true" outlineLevel="0" collapsed="false">
      <c r="A160" s="22" t="n">
        <v>159</v>
      </c>
      <c r="B160" s="25"/>
      <c r="C160" s="22"/>
      <c r="D160" s="22"/>
      <c r="E160" s="22"/>
      <c r="F160" s="22"/>
      <c r="G160" s="22"/>
      <c r="H160" s="22"/>
      <c r="I160" s="22"/>
      <c r="J160" s="25"/>
      <c r="K160" s="25"/>
      <c r="L160" s="25"/>
      <c r="M160" s="22"/>
    </row>
    <row r="161" customFormat="false" ht="15" hidden="false" customHeight="true" outlineLevel="0" collapsed="false">
      <c r="A161" s="22" t="n">
        <v>160</v>
      </c>
      <c r="B161" s="25"/>
      <c r="C161" s="22"/>
      <c r="D161" s="22"/>
      <c r="E161" s="22"/>
      <c r="F161" s="22"/>
      <c r="G161" s="22"/>
      <c r="H161" s="22"/>
      <c r="I161" s="22"/>
      <c r="J161" s="25"/>
      <c r="K161" s="25"/>
      <c r="L161" s="25"/>
      <c r="M161" s="22"/>
    </row>
    <row r="162" customFormat="false" ht="15" hidden="false" customHeight="true" outlineLevel="0" collapsed="false">
      <c r="A162" s="22" t="n">
        <v>161</v>
      </c>
      <c r="B162" s="25"/>
      <c r="C162" s="22"/>
      <c r="D162" s="22"/>
      <c r="E162" s="22"/>
      <c r="F162" s="22"/>
      <c r="G162" s="22"/>
      <c r="H162" s="22"/>
      <c r="I162" s="22"/>
      <c r="J162" s="25"/>
      <c r="K162" s="25"/>
      <c r="L162" s="25"/>
      <c r="M162" s="22"/>
    </row>
    <row r="163" customFormat="false" ht="15" hidden="false" customHeight="true" outlineLevel="0" collapsed="false">
      <c r="A163" s="22" t="n">
        <v>162</v>
      </c>
      <c r="B163" s="25"/>
      <c r="C163" s="22"/>
      <c r="D163" s="22"/>
      <c r="E163" s="22"/>
      <c r="F163" s="22"/>
      <c r="G163" s="22"/>
      <c r="H163" s="22"/>
      <c r="I163" s="22"/>
      <c r="J163" s="25"/>
      <c r="K163" s="25"/>
      <c r="L163" s="25"/>
      <c r="M163" s="22"/>
    </row>
    <row r="164" customFormat="false" ht="15" hidden="false" customHeight="true" outlineLevel="0" collapsed="false">
      <c r="A164" s="22" t="n">
        <v>163</v>
      </c>
      <c r="B164" s="25"/>
      <c r="C164" s="22"/>
      <c r="D164" s="22"/>
      <c r="E164" s="22"/>
      <c r="F164" s="22"/>
      <c r="G164" s="22"/>
      <c r="H164" s="22"/>
      <c r="I164" s="22"/>
      <c r="J164" s="25"/>
      <c r="K164" s="25"/>
      <c r="L164" s="25"/>
      <c r="M164" s="22"/>
    </row>
    <row r="165" customFormat="false" ht="15" hidden="false" customHeight="true" outlineLevel="0" collapsed="false">
      <c r="A165" s="22" t="n">
        <v>164</v>
      </c>
      <c r="B165" s="25"/>
      <c r="C165" s="22"/>
      <c r="D165" s="22"/>
      <c r="E165" s="22"/>
      <c r="F165" s="22"/>
      <c r="G165" s="22"/>
      <c r="H165" s="22"/>
      <c r="I165" s="22"/>
      <c r="J165" s="25"/>
      <c r="K165" s="25"/>
      <c r="L165" s="25"/>
      <c r="M165" s="22"/>
    </row>
    <row r="166" customFormat="false" ht="15" hidden="false" customHeight="true" outlineLevel="0" collapsed="false">
      <c r="A166" s="22" t="n">
        <v>165</v>
      </c>
      <c r="B166" s="25"/>
      <c r="C166" s="22"/>
      <c r="D166" s="22"/>
      <c r="E166" s="22"/>
      <c r="F166" s="22"/>
      <c r="G166" s="22"/>
      <c r="H166" s="22"/>
      <c r="I166" s="22"/>
      <c r="J166" s="25"/>
      <c r="K166" s="25"/>
      <c r="L166" s="25"/>
      <c r="M166" s="22"/>
    </row>
    <row r="167" customFormat="false" ht="15" hidden="false" customHeight="true" outlineLevel="0" collapsed="false">
      <c r="A167" s="22" t="n">
        <v>166</v>
      </c>
      <c r="B167" s="25"/>
      <c r="C167" s="22"/>
      <c r="D167" s="22"/>
      <c r="E167" s="22"/>
      <c r="F167" s="22"/>
      <c r="G167" s="22"/>
      <c r="H167" s="22"/>
      <c r="I167" s="22"/>
      <c r="J167" s="25"/>
      <c r="K167" s="25"/>
      <c r="L167" s="25"/>
      <c r="M167" s="22"/>
    </row>
    <row r="168" customFormat="false" ht="15" hidden="false" customHeight="true" outlineLevel="0" collapsed="false">
      <c r="A168" s="22" t="n">
        <v>167</v>
      </c>
      <c r="B168" s="25"/>
      <c r="C168" s="22"/>
      <c r="D168" s="22"/>
      <c r="E168" s="22"/>
      <c r="F168" s="22"/>
      <c r="G168" s="22"/>
      <c r="H168" s="22"/>
      <c r="I168" s="22"/>
      <c r="J168" s="25"/>
      <c r="K168" s="25"/>
      <c r="L168" s="25"/>
      <c r="M168" s="22"/>
    </row>
    <row r="169" customFormat="false" ht="15" hidden="false" customHeight="true" outlineLevel="0" collapsed="false">
      <c r="A169" s="22" t="n">
        <v>168</v>
      </c>
      <c r="B169" s="25"/>
      <c r="C169" s="22"/>
      <c r="D169" s="22"/>
      <c r="E169" s="22"/>
      <c r="F169" s="22"/>
      <c r="G169" s="22"/>
      <c r="H169" s="22"/>
      <c r="I169" s="22"/>
      <c r="J169" s="25"/>
      <c r="K169" s="25"/>
      <c r="L169" s="25"/>
      <c r="M169" s="22"/>
    </row>
    <row r="170" customFormat="false" ht="15" hidden="false" customHeight="true" outlineLevel="0" collapsed="false">
      <c r="A170" s="22" t="n">
        <v>169</v>
      </c>
      <c r="B170" s="25"/>
      <c r="C170" s="22"/>
      <c r="D170" s="22"/>
      <c r="E170" s="22"/>
      <c r="F170" s="22"/>
      <c r="G170" s="22"/>
      <c r="H170" s="22"/>
      <c r="I170" s="22"/>
      <c r="J170" s="25"/>
      <c r="K170" s="25"/>
      <c r="L170" s="25"/>
      <c r="M170" s="22"/>
    </row>
    <row r="171" customFormat="false" ht="15" hidden="false" customHeight="true" outlineLevel="0" collapsed="false">
      <c r="A171" s="22" t="n">
        <v>170</v>
      </c>
      <c r="B171" s="25"/>
      <c r="C171" s="22"/>
      <c r="D171" s="22"/>
      <c r="E171" s="22"/>
      <c r="F171" s="22"/>
      <c r="G171" s="22"/>
      <c r="H171" s="22"/>
      <c r="I171" s="22"/>
      <c r="J171" s="25"/>
      <c r="K171" s="25"/>
      <c r="L171" s="25"/>
      <c r="M171" s="22"/>
    </row>
    <row r="172" customFormat="false" ht="15" hidden="false" customHeight="true" outlineLevel="0" collapsed="false">
      <c r="A172" s="22" t="n">
        <v>171</v>
      </c>
      <c r="B172" s="25"/>
      <c r="C172" s="22"/>
      <c r="D172" s="22"/>
      <c r="E172" s="22"/>
      <c r="F172" s="22"/>
      <c r="G172" s="22"/>
      <c r="H172" s="22"/>
      <c r="I172" s="22"/>
      <c r="J172" s="25"/>
      <c r="K172" s="25"/>
      <c r="L172" s="25"/>
      <c r="M172" s="22"/>
    </row>
    <row r="173" customFormat="false" ht="15" hidden="false" customHeight="true" outlineLevel="0" collapsed="false">
      <c r="A173" s="22" t="n">
        <v>172</v>
      </c>
      <c r="B173" s="25"/>
      <c r="C173" s="22"/>
      <c r="D173" s="22"/>
      <c r="E173" s="22"/>
      <c r="F173" s="22"/>
      <c r="G173" s="22"/>
      <c r="H173" s="22"/>
      <c r="I173" s="22"/>
      <c r="J173" s="25"/>
      <c r="K173" s="25"/>
      <c r="L173" s="25"/>
      <c r="M173" s="22"/>
    </row>
    <row r="174" customFormat="false" ht="15" hidden="false" customHeight="true" outlineLevel="0" collapsed="false">
      <c r="A174" s="22" t="n">
        <v>173</v>
      </c>
      <c r="B174" s="25"/>
      <c r="C174" s="22"/>
      <c r="D174" s="22"/>
      <c r="E174" s="22"/>
      <c r="F174" s="22"/>
      <c r="G174" s="22"/>
      <c r="H174" s="22"/>
      <c r="I174" s="22"/>
      <c r="J174" s="25"/>
      <c r="K174" s="25"/>
      <c r="L174" s="25"/>
      <c r="M174" s="22"/>
    </row>
    <row r="175" customFormat="false" ht="15" hidden="false" customHeight="true" outlineLevel="0" collapsed="false">
      <c r="A175" s="22" t="n">
        <v>174</v>
      </c>
      <c r="B175" s="25"/>
      <c r="C175" s="22"/>
      <c r="D175" s="22"/>
      <c r="E175" s="22"/>
      <c r="F175" s="22"/>
      <c r="G175" s="22"/>
      <c r="H175" s="22"/>
      <c r="I175" s="22"/>
      <c r="J175" s="25"/>
      <c r="K175" s="25"/>
      <c r="L175" s="25"/>
      <c r="M175" s="22"/>
    </row>
    <row r="176" customFormat="false" ht="15" hidden="false" customHeight="true" outlineLevel="0" collapsed="false">
      <c r="A176" s="22" t="n">
        <v>175</v>
      </c>
      <c r="B176" s="25"/>
      <c r="C176" s="22"/>
      <c r="D176" s="22"/>
      <c r="E176" s="22"/>
      <c r="F176" s="22"/>
      <c r="G176" s="22"/>
      <c r="H176" s="22"/>
      <c r="I176" s="22"/>
      <c r="J176" s="25"/>
      <c r="K176" s="25"/>
      <c r="L176" s="25"/>
      <c r="M176" s="22"/>
    </row>
    <row r="177" customFormat="false" ht="15" hidden="false" customHeight="true" outlineLevel="0" collapsed="false">
      <c r="A177" s="22" t="n">
        <v>176</v>
      </c>
      <c r="B177" s="25"/>
      <c r="C177" s="22"/>
      <c r="D177" s="22"/>
      <c r="E177" s="22"/>
      <c r="F177" s="22"/>
      <c r="G177" s="22"/>
      <c r="H177" s="22"/>
      <c r="I177" s="22"/>
      <c r="J177" s="25"/>
      <c r="K177" s="25"/>
      <c r="L177" s="25"/>
      <c r="M177" s="22"/>
    </row>
    <row r="178" customFormat="false" ht="15" hidden="false" customHeight="true" outlineLevel="0" collapsed="false">
      <c r="A178" s="22" t="n">
        <v>177</v>
      </c>
      <c r="B178" s="25"/>
      <c r="C178" s="22"/>
      <c r="D178" s="22"/>
      <c r="E178" s="22"/>
      <c r="F178" s="22"/>
      <c r="G178" s="22"/>
      <c r="H178" s="22"/>
      <c r="I178" s="22"/>
      <c r="J178" s="25"/>
      <c r="K178" s="25"/>
      <c r="L178" s="25"/>
      <c r="M178" s="22"/>
    </row>
    <row r="179" customFormat="false" ht="15" hidden="false" customHeight="true" outlineLevel="0" collapsed="false">
      <c r="A179" s="22" t="n">
        <v>178</v>
      </c>
      <c r="B179" s="25"/>
      <c r="C179" s="22"/>
      <c r="D179" s="22"/>
      <c r="E179" s="22"/>
      <c r="F179" s="22"/>
      <c r="G179" s="22"/>
      <c r="H179" s="22"/>
      <c r="I179" s="22"/>
      <c r="J179" s="25"/>
      <c r="K179" s="25"/>
      <c r="L179" s="25"/>
      <c r="M179" s="22"/>
    </row>
    <row r="180" customFormat="false" ht="15" hidden="false" customHeight="true" outlineLevel="0" collapsed="false">
      <c r="A180" s="22" t="n">
        <v>179</v>
      </c>
      <c r="B180" s="25"/>
      <c r="C180" s="22"/>
      <c r="D180" s="22"/>
      <c r="E180" s="22"/>
      <c r="F180" s="22"/>
      <c r="G180" s="22"/>
      <c r="H180" s="22"/>
      <c r="I180" s="22"/>
      <c r="J180" s="25"/>
      <c r="K180" s="25"/>
      <c r="L180" s="25"/>
      <c r="M180" s="22"/>
    </row>
    <row r="181" customFormat="false" ht="15" hidden="false" customHeight="true" outlineLevel="0" collapsed="false">
      <c r="A181" s="22" t="n">
        <v>180</v>
      </c>
      <c r="B181" s="25"/>
      <c r="C181" s="22"/>
      <c r="D181" s="22"/>
      <c r="E181" s="22"/>
      <c r="F181" s="22"/>
      <c r="G181" s="22"/>
      <c r="H181" s="22"/>
      <c r="I181" s="22"/>
      <c r="J181" s="25"/>
      <c r="K181" s="25"/>
      <c r="L181" s="25"/>
      <c r="M181" s="22"/>
    </row>
    <row r="182" customFormat="false" ht="15" hidden="false" customHeight="true" outlineLevel="0" collapsed="false">
      <c r="A182" s="22" t="n">
        <v>181</v>
      </c>
      <c r="B182" s="25"/>
      <c r="C182" s="22"/>
      <c r="D182" s="22"/>
      <c r="E182" s="22"/>
      <c r="F182" s="22"/>
      <c r="G182" s="22"/>
      <c r="H182" s="22"/>
      <c r="I182" s="22"/>
      <c r="J182" s="25"/>
      <c r="K182" s="25"/>
      <c r="L182" s="25"/>
      <c r="M182" s="22"/>
    </row>
    <row r="183" customFormat="false" ht="15" hidden="false" customHeight="true" outlineLevel="0" collapsed="false">
      <c r="A183" s="22" t="n">
        <v>182</v>
      </c>
      <c r="B183" s="25"/>
      <c r="C183" s="22"/>
      <c r="D183" s="22"/>
      <c r="E183" s="22"/>
      <c r="F183" s="22"/>
      <c r="G183" s="22"/>
      <c r="H183" s="22"/>
      <c r="I183" s="22"/>
      <c r="J183" s="25"/>
      <c r="K183" s="25"/>
      <c r="L183" s="25"/>
      <c r="M183" s="22"/>
    </row>
    <row r="184" customFormat="false" ht="15" hidden="false" customHeight="true" outlineLevel="0" collapsed="false">
      <c r="A184" s="22" t="n">
        <v>183</v>
      </c>
      <c r="B184" s="25"/>
      <c r="C184" s="22"/>
      <c r="D184" s="22"/>
      <c r="E184" s="22"/>
      <c r="F184" s="22"/>
      <c r="G184" s="22"/>
      <c r="H184" s="22"/>
      <c r="I184" s="22"/>
      <c r="J184" s="25"/>
      <c r="K184" s="25"/>
      <c r="L184" s="25"/>
      <c r="M184" s="22"/>
    </row>
    <row r="185" customFormat="false" ht="15" hidden="false" customHeight="true" outlineLevel="0" collapsed="false">
      <c r="A185" s="22" t="n">
        <v>184</v>
      </c>
      <c r="B185" s="25"/>
      <c r="C185" s="22"/>
      <c r="D185" s="22"/>
      <c r="E185" s="22"/>
      <c r="F185" s="22"/>
      <c r="G185" s="22"/>
      <c r="H185" s="22"/>
      <c r="I185" s="22"/>
      <c r="J185" s="25"/>
      <c r="K185" s="25"/>
      <c r="L185" s="25"/>
      <c r="M185" s="22"/>
    </row>
    <row r="186" customFormat="false" ht="15" hidden="false" customHeight="true" outlineLevel="0" collapsed="false">
      <c r="A186" s="22" t="n">
        <v>185</v>
      </c>
      <c r="B186" s="25"/>
      <c r="C186" s="22"/>
      <c r="D186" s="22"/>
      <c r="E186" s="22"/>
      <c r="F186" s="22"/>
      <c r="G186" s="22"/>
      <c r="H186" s="22"/>
      <c r="I186" s="22"/>
      <c r="J186" s="25"/>
      <c r="K186" s="25"/>
      <c r="L186" s="25"/>
      <c r="M186" s="22"/>
    </row>
    <row r="187" customFormat="false" ht="15" hidden="false" customHeight="true" outlineLevel="0" collapsed="false">
      <c r="A187" s="22" t="n">
        <v>186</v>
      </c>
      <c r="B187" s="25"/>
      <c r="C187" s="22"/>
      <c r="D187" s="22"/>
      <c r="E187" s="22"/>
      <c r="F187" s="22"/>
      <c r="G187" s="22"/>
      <c r="H187" s="22"/>
      <c r="I187" s="22"/>
      <c r="J187" s="25"/>
      <c r="K187" s="25"/>
      <c r="L187" s="25"/>
      <c r="M187" s="22"/>
    </row>
    <row r="188" customFormat="false" ht="15" hidden="false" customHeight="true" outlineLevel="0" collapsed="false">
      <c r="A188" s="22" t="n">
        <v>187</v>
      </c>
      <c r="B188" s="25"/>
      <c r="C188" s="22"/>
      <c r="D188" s="22"/>
      <c r="E188" s="22"/>
      <c r="F188" s="22"/>
      <c r="G188" s="22"/>
      <c r="H188" s="22"/>
      <c r="I188" s="22"/>
      <c r="J188" s="25"/>
      <c r="K188" s="25"/>
      <c r="L188" s="25"/>
      <c r="M188" s="22"/>
    </row>
    <row r="189" customFormat="false" ht="15" hidden="false" customHeight="true" outlineLevel="0" collapsed="false">
      <c r="A189" s="22" t="n">
        <v>188</v>
      </c>
      <c r="B189" s="25"/>
      <c r="C189" s="22"/>
      <c r="D189" s="22"/>
      <c r="E189" s="22"/>
      <c r="F189" s="22"/>
      <c r="G189" s="22"/>
      <c r="H189" s="22"/>
      <c r="I189" s="22"/>
      <c r="J189" s="25"/>
      <c r="K189" s="25"/>
      <c r="L189" s="25"/>
      <c r="M189" s="22"/>
    </row>
    <row r="190" customFormat="false" ht="15" hidden="false" customHeight="true" outlineLevel="0" collapsed="false">
      <c r="A190" s="22" t="n">
        <v>189</v>
      </c>
      <c r="B190" s="25"/>
      <c r="C190" s="22"/>
      <c r="D190" s="22"/>
      <c r="E190" s="22"/>
      <c r="F190" s="22"/>
      <c r="G190" s="22"/>
      <c r="H190" s="22"/>
      <c r="I190" s="22"/>
      <c r="J190" s="25"/>
      <c r="K190" s="25"/>
      <c r="L190" s="25"/>
      <c r="M190" s="22"/>
    </row>
    <row r="191" customFormat="false" ht="15" hidden="false" customHeight="true" outlineLevel="0" collapsed="false">
      <c r="A191" s="22" t="n">
        <v>190</v>
      </c>
      <c r="B191" s="25"/>
      <c r="C191" s="22"/>
      <c r="D191" s="22"/>
      <c r="E191" s="22"/>
      <c r="F191" s="22"/>
      <c r="G191" s="22"/>
      <c r="H191" s="22"/>
      <c r="I191" s="22"/>
      <c r="J191" s="25"/>
      <c r="K191" s="25"/>
      <c r="L191" s="25"/>
      <c r="M191" s="22"/>
    </row>
    <row r="192" customFormat="false" ht="15" hidden="false" customHeight="true" outlineLevel="0" collapsed="false">
      <c r="A192" s="22" t="n">
        <v>191</v>
      </c>
      <c r="B192" s="25"/>
      <c r="C192" s="22"/>
      <c r="D192" s="22"/>
      <c r="E192" s="22"/>
      <c r="F192" s="22"/>
      <c r="G192" s="22"/>
      <c r="H192" s="22"/>
      <c r="I192" s="22"/>
      <c r="J192" s="25"/>
      <c r="K192" s="25"/>
      <c r="L192" s="25"/>
      <c r="M192" s="22"/>
    </row>
    <row r="193" customFormat="false" ht="15" hidden="false" customHeight="true" outlineLevel="0" collapsed="false">
      <c r="A193" s="22" t="n">
        <v>192</v>
      </c>
      <c r="B193" s="25"/>
      <c r="C193" s="22"/>
      <c r="D193" s="22"/>
      <c r="E193" s="22"/>
      <c r="F193" s="22"/>
      <c r="G193" s="22"/>
      <c r="H193" s="22"/>
      <c r="I193" s="22"/>
      <c r="J193" s="25"/>
      <c r="K193" s="25"/>
      <c r="L193" s="25"/>
      <c r="M193" s="22"/>
    </row>
    <row r="194" customFormat="false" ht="15" hidden="false" customHeight="true" outlineLevel="0" collapsed="false">
      <c r="A194" s="22" t="n">
        <v>193</v>
      </c>
      <c r="B194" s="25"/>
      <c r="C194" s="22"/>
      <c r="D194" s="22"/>
      <c r="E194" s="22"/>
      <c r="F194" s="22"/>
      <c r="G194" s="22"/>
      <c r="H194" s="22"/>
      <c r="I194" s="22"/>
      <c r="J194" s="25"/>
      <c r="K194" s="25"/>
      <c r="L194" s="25"/>
      <c r="M194" s="22"/>
    </row>
    <row r="195" customFormat="false" ht="15" hidden="false" customHeight="true" outlineLevel="0" collapsed="false">
      <c r="A195" s="22" t="n">
        <v>194</v>
      </c>
      <c r="B195" s="25"/>
      <c r="C195" s="22"/>
      <c r="D195" s="22"/>
      <c r="E195" s="22"/>
      <c r="F195" s="22"/>
      <c r="G195" s="22"/>
      <c r="H195" s="22"/>
      <c r="I195" s="22"/>
      <c r="J195" s="25"/>
      <c r="K195" s="25"/>
      <c r="L195" s="25"/>
      <c r="M195" s="22"/>
    </row>
    <row r="196" customFormat="false" ht="15" hidden="false" customHeight="true" outlineLevel="0" collapsed="false">
      <c r="A196" s="22" t="n">
        <v>195</v>
      </c>
      <c r="B196" s="25"/>
      <c r="C196" s="22"/>
      <c r="D196" s="22"/>
      <c r="E196" s="22"/>
      <c r="F196" s="22"/>
      <c r="G196" s="22"/>
      <c r="H196" s="22"/>
      <c r="I196" s="22"/>
      <c r="J196" s="25"/>
      <c r="K196" s="25"/>
      <c r="L196" s="25"/>
      <c r="M196" s="22"/>
    </row>
    <row r="197" customFormat="false" ht="15" hidden="false" customHeight="true" outlineLevel="0" collapsed="false">
      <c r="A197" s="22" t="n">
        <v>196</v>
      </c>
      <c r="B197" s="25"/>
      <c r="C197" s="22"/>
      <c r="D197" s="22"/>
      <c r="E197" s="22"/>
      <c r="F197" s="22"/>
      <c r="G197" s="22"/>
      <c r="H197" s="22"/>
      <c r="I197" s="22"/>
      <c r="J197" s="25"/>
      <c r="K197" s="25"/>
      <c r="L197" s="25"/>
      <c r="M197" s="22"/>
    </row>
    <row r="198" customFormat="false" ht="15" hidden="false" customHeight="true" outlineLevel="0" collapsed="false">
      <c r="A198" s="22" t="n">
        <v>197</v>
      </c>
      <c r="B198" s="25"/>
      <c r="C198" s="22"/>
      <c r="D198" s="22"/>
      <c r="E198" s="22"/>
      <c r="F198" s="22"/>
      <c r="G198" s="22"/>
      <c r="H198" s="22"/>
      <c r="I198" s="22"/>
      <c r="J198" s="25"/>
      <c r="K198" s="25"/>
      <c r="L198" s="25"/>
      <c r="M198" s="22"/>
    </row>
    <row r="199" customFormat="false" ht="15" hidden="false" customHeight="true" outlineLevel="0" collapsed="false">
      <c r="A199" s="22" t="n">
        <v>198</v>
      </c>
      <c r="B199" s="25"/>
      <c r="C199" s="22"/>
      <c r="D199" s="22"/>
      <c r="E199" s="22"/>
      <c r="F199" s="22"/>
      <c r="G199" s="22"/>
      <c r="H199" s="22"/>
      <c r="I199" s="22"/>
      <c r="J199" s="25"/>
      <c r="K199" s="25"/>
      <c r="L199" s="25"/>
      <c r="M199" s="22"/>
    </row>
    <row r="200" customFormat="false" ht="15" hidden="false" customHeight="true" outlineLevel="0" collapsed="false">
      <c r="A200" s="22" t="n">
        <v>199</v>
      </c>
      <c r="B200" s="25"/>
      <c r="C200" s="22"/>
      <c r="D200" s="22"/>
      <c r="E200" s="22"/>
      <c r="F200" s="22"/>
      <c r="G200" s="22"/>
      <c r="H200" s="22"/>
      <c r="I200" s="22"/>
      <c r="J200" s="25"/>
      <c r="K200" s="25"/>
      <c r="L200" s="25"/>
      <c r="M200" s="22"/>
    </row>
    <row r="201" customFormat="false" ht="15" hidden="false" customHeight="true" outlineLevel="0" collapsed="false">
      <c r="A201" s="22" t="n">
        <v>200</v>
      </c>
      <c r="B201" s="25"/>
      <c r="C201" s="22"/>
      <c r="D201" s="22"/>
      <c r="E201" s="22"/>
      <c r="F201" s="22"/>
      <c r="G201" s="22"/>
      <c r="H201" s="22"/>
      <c r="I201" s="22"/>
      <c r="J201" s="25"/>
      <c r="K201" s="25"/>
      <c r="L201" s="25"/>
      <c r="M201" s="22"/>
    </row>
    <row r="202" customFormat="false" ht="15" hidden="false" customHeight="true" outlineLevel="0" collapsed="false">
      <c r="A202" s="22" t="n">
        <v>201</v>
      </c>
      <c r="B202" s="25"/>
      <c r="C202" s="22"/>
      <c r="D202" s="22"/>
      <c r="E202" s="22"/>
      <c r="F202" s="22"/>
      <c r="G202" s="22"/>
      <c r="H202" s="22"/>
      <c r="I202" s="22"/>
      <c r="J202" s="25"/>
      <c r="K202" s="25"/>
      <c r="L202" s="25"/>
      <c r="M202" s="22"/>
    </row>
    <row r="203" customFormat="false" ht="15" hidden="false" customHeight="true" outlineLevel="0" collapsed="false">
      <c r="A203" s="22" t="n">
        <v>202</v>
      </c>
      <c r="B203" s="25"/>
      <c r="C203" s="22"/>
      <c r="D203" s="22"/>
      <c r="E203" s="22"/>
      <c r="F203" s="22"/>
      <c r="G203" s="22"/>
      <c r="H203" s="22"/>
      <c r="I203" s="22"/>
      <c r="J203" s="25"/>
      <c r="K203" s="25"/>
      <c r="L203" s="25"/>
      <c r="M203" s="22"/>
    </row>
    <row r="204" customFormat="false" ht="15" hidden="false" customHeight="true" outlineLevel="0" collapsed="false">
      <c r="A204" s="22" t="n">
        <v>203</v>
      </c>
      <c r="B204" s="25"/>
      <c r="C204" s="22"/>
      <c r="D204" s="22"/>
      <c r="E204" s="22"/>
      <c r="F204" s="22"/>
      <c r="G204" s="22"/>
      <c r="H204" s="22"/>
      <c r="I204" s="22"/>
      <c r="J204" s="25"/>
      <c r="K204" s="25"/>
      <c r="L204" s="25"/>
      <c r="M204" s="22"/>
    </row>
    <row r="205" customFormat="false" ht="15" hidden="false" customHeight="true" outlineLevel="0" collapsed="false">
      <c r="A205" s="22" t="n">
        <v>204</v>
      </c>
      <c r="B205" s="25"/>
      <c r="C205" s="22"/>
      <c r="D205" s="22"/>
      <c r="E205" s="22"/>
      <c r="F205" s="22"/>
      <c r="G205" s="22"/>
      <c r="H205" s="22"/>
      <c r="I205" s="22"/>
      <c r="J205" s="25"/>
      <c r="K205" s="25"/>
      <c r="L205" s="25"/>
      <c r="M205" s="22"/>
    </row>
    <row r="206" customFormat="false" ht="15" hidden="false" customHeight="true" outlineLevel="0" collapsed="false">
      <c r="A206" s="22" t="n">
        <v>205</v>
      </c>
      <c r="B206" s="25"/>
      <c r="C206" s="22"/>
      <c r="D206" s="22"/>
      <c r="E206" s="22"/>
      <c r="F206" s="22"/>
      <c r="G206" s="22"/>
      <c r="H206" s="22"/>
      <c r="I206" s="22"/>
      <c r="J206" s="25"/>
      <c r="K206" s="25"/>
      <c r="L206" s="25"/>
      <c r="M206" s="22"/>
    </row>
    <row r="207" customFormat="false" ht="15" hidden="false" customHeight="true" outlineLevel="0" collapsed="false">
      <c r="A207" s="22" t="n">
        <v>206</v>
      </c>
      <c r="B207" s="25"/>
      <c r="C207" s="22"/>
      <c r="D207" s="22"/>
      <c r="E207" s="22"/>
      <c r="F207" s="22"/>
      <c r="G207" s="22"/>
      <c r="H207" s="22"/>
      <c r="I207" s="22"/>
      <c r="J207" s="25"/>
      <c r="K207" s="25"/>
      <c r="L207" s="25"/>
      <c r="M207" s="22"/>
    </row>
    <row r="208" customFormat="false" ht="15" hidden="false" customHeight="true" outlineLevel="0" collapsed="false">
      <c r="A208" s="22" t="n">
        <v>207</v>
      </c>
      <c r="B208" s="25"/>
      <c r="C208" s="22"/>
      <c r="D208" s="22"/>
      <c r="E208" s="22"/>
      <c r="F208" s="22"/>
      <c r="G208" s="22"/>
      <c r="H208" s="22"/>
      <c r="I208" s="22"/>
      <c r="J208" s="25"/>
      <c r="K208" s="25"/>
      <c r="L208" s="25"/>
      <c r="M208" s="22"/>
    </row>
    <row r="209" customFormat="false" ht="15" hidden="false" customHeight="true" outlineLevel="0" collapsed="false">
      <c r="A209" s="22" t="n">
        <v>208</v>
      </c>
      <c r="B209" s="25"/>
      <c r="C209" s="22"/>
      <c r="D209" s="22"/>
      <c r="E209" s="22"/>
      <c r="F209" s="22"/>
      <c r="G209" s="22"/>
      <c r="H209" s="22"/>
      <c r="I209" s="22"/>
      <c r="J209" s="25"/>
      <c r="K209" s="25"/>
      <c r="L209" s="25"/>
      <c r="M209" s="22"/>
    </row>
    <row r="210" customFormat="false" ht="15" hidden="false" customHeight="true" outlineLevel="0" collapsed="false">
      <c r="A210" s="22" t="n">
        <v>209</v>
      </c>
      <c r="B210" s="25"/>
      <c r="C210" s="22"/>
      <c r="D210" s="22"/>
      <c r="E210" s="22"/>
      <c r="F210" s="22"/>
      <c r="G210" s="22"/>
      <c r="H210" s="22"/>
      <c r="I210" s="22"/>
      <c r="J210" s="25"/>
      <c r="K210" s="25"/>
      <c r="L210" s="25"/>
      <c r="M210" s="22"/>
    </row>
    <row r="211" customFormat="false" ht="15" hidden="false" customHeight="true" outlineLevel="0" collapsed="false">
      <c r="A211" s="22" t="n">
        <v>210</v>
      </c>
      <c r="B211" s="25"/>
      <c r="C211" s="22"/>
      <c r="D211" s="22"/>
      <c r="E211" s="22"/>
      <c r="F211" s="22"/>
      <c r="G211" s="22"/>
      <c r="H211" s="22"/>
      <c r="I211" s="22"/>
      <c r="J211" s="25"/>
      <c r="K211" s="25"/>
      <c r="L211" s="25"/>
      <c r="M211" s="22"/>
    </row>
    <row r="212" customFormat="false" ht="15" hidden="false" customHeight="true" outlineLevel="0" collapsed="false">
      <c r="A212" s="22" t="n">
        <v>211</v>
      </c>
      <c r="B212" s="25"/>
      <c r="C212" s="22"/>
      <c r="D212" s="22"/>
      <c r="E212" s="22"/>
      <c r="F212" s="22"/>
      <c r="G212" s="22"/>
      <c r="H212" s="22"/>
      <c r="I212" s="22"/>
      <c r="J212" s="25"/>
      <c r="K212" s="25"/>
      <c r="L212" s="25"/>
      <c r="M212" s="22"/>
    </row>
    <row r="213" customFormat="false" ht="15" hidden="false" customHeight="true" outlineLevel="0" collapsed="false">
      <c r="A213" s="22" t="n">
        <v>212</v>
      </c>
      <c r="B213" s="25"/>
      <c r="C213" s="22"/>
      <c r="D213" s="22"/>
      <c r="E213" s="22"/>
      <c r="F213" s="22"/>
      <c r="G213" s="22"/>
      <c r="H213" s="22"/>
      <c r="I213" s="22"/>
      <c r="J213" s="25"/>
      <c r="K213" s="25"/>
      <c r="L213" s="25"/>
      <c r="M213" s="22"/>
    </row>
    <row r="214" customFormat="false" ht="15" hidden="false" customHeight="true" outlineLevel="0" collapsed="false">
      <c r="A214" s="22" t="n">
        <v>213</v>
      </c>
      <c r="B214" s="25"/>
      <c r="C214" s="22"/>
      <c r="D214" s="22"/>
      <c r="E214" s="22"/>
      <c r="F214" s="22"/>
      <c r="G214" s="22"/>
      <c r="H214" s="22"/>
      <c r="I214" s="22"/>
      <c r="J214" s="25"/>
      <c r="K214" s="25"/>
      <c r="L214" s="25"/>
      <c r="M214" s="22"/>
    </row>
    <row r="215" customFormat="false" ht="15" hidden="false" customHeight="true" outlineLevel="0" collapsed="false">
      <c r="A215" s="22" t="n">
        <v>214</v>
      </c>
      <c r="B215" s="25"/>
      <c r="C215" s="22"/>
      <c r="D215" s="22"/>
      <c r="E215" s="22"/>
      <c r="F215" s="22"/>
      <c r="G215" s="22"/>
      <c r="H215" s="22"/>
      <c r="I215" s="22"/>
      <c r="J215" s="25"/>
      <c r="K215" s="25"/>
      <c r="L215" s="25"/>
      <c r="M215" s="22"/>
    </row>
    <row r="216" customFormat="false" ht="15" hidden="false" customHeight="true" outlineLevel="0" collapsed="false">
      <c r="A216" s="22" t="n">
        <v>215</v>
      </c>
      <c r="B216" s="25"/>
      <c r="C216" s="22"/>
      <c r="D216" s="22"/>
      <c r="E216" s="22"/>
      <c r="F216" s="22"/>
      <c r="G216" s="22"/>
      <c r="H216" s="22"/>
      <c r="I216" s="22"/>
      <c r="J216" s="25"/>
      <c r="K216" s="25"/>
      <c r="L216" s="25"/>
      <c r="M216" s="22"/>
    </row>
    <row r="217" customFormat="false" ht="15" hidden="false" customHeight="true" outlineLevel="0" collapsed="false">
      <c r="A217" s="22" t="n">
        <v>216</v>
      </c>
      <c r="B217" s="25"/>
      <c r="C217" s="22"/>
      <c r="D217" s="22"/>
      <c r="E217" s="22"/>
      <c r="F217" s="22"/>
      <c r="G217" s="22"/>
      <c r="H217" s="22"/>
      <c r="I217" s="22"/>
      <c r="J217" s="25"/>
      <c r="K217" s="25"/>
      <c r="L217" s="25"/>
      <c r="M217" s="22"/>
    </row>
    <row r="218" customFormat="false" ht="15" hidden="false" customHeight="true" outlineLevel="0" collapsed="false">
      <c r="A218" s="22" t="n">
        <v>217</v>
      </c>
      <c r="B218" s="25"/>
      <c r="C218" s="22"/>
      <c r="D218" s="22"/>
      <c r="E218" s="22"/>
      <c r="F218" s="22"/>
      <c r="G218" s="22"/>
      <c r="H218" s="22"/>
      <c r="I218" s="22"/>
      <c r="J218" s="25"/>
      <c r="K218" s="25"/>
      <c r="L218" s="25"/>
      <c r="M218" s="22"/>
    </row>
    <row r="219" customFormat="false" ht="15" hidden="false" customHeight="true" outlineLevel="0" collapsed="false">
      <c r="A219" s="22" t="n">
        <v>218</v>
      </c>
      <c r="B219" s="25"/>
      <c r="C219" s="22"/>
      <c r="D219" s="22"/>
      <c r="E219" s="22"/>
      <c r="F219" s="22"/>
      <c r="G219" s="22"/>
      <c r="H219" s="22"/>
      <c r="I219" s="22"/>
      <c r="J219" s="25"/>
      <c r="K219" s="25"/>
      <c r="L219" s="25"/>
      <c r="M219" s="22"/>
    </row>
    <row r="220" customFormat="false" ht="15" hidden="false" customHeight="true" outlineLevel="0" collapsed="false">
      <c r="A220" s="22" t="n">
        <v>219</v>
      </c>
      <c r="B220" s="25"/>
      <c r="C220" s="22"/>
      <c r="D220" s="22"/>
      <c r="E220" s="22"/>
      <c r="F220" s="22"/>
      <c r="G220" s="22"/>
      <c r="H220" s="22"/>
      <c r="I220" s="22"/>
      <c r="J220" s="25"/>
      <c r="K220" s="25"/>
      <c r="L220" s="25"/>
      <c r="M220" s="22"/>
    </row>
    <row r="221" customFormat="false" ht="15" hidden="false" customHeight="true" outlineLevel="0" collapsed="false">
      <c r="A221" s="22" t="n">
        <v>220</v>
      </c>
      <c r="B221" s="25"/>
      <c r="C221" s="22"/>
      <c r="D221" s="22"/>
      <c r="E221" s="22"/>
      <c r="F221" s="22"/>
      <c r="G221" s="22"/>
      <c r="H221" s="22"/>
      <c r="I221" s="22"/>
      <c r="J221" s="25"/>
      <c r="K221" s="25"/>
      <c r="L221" s="25"/>
      <c r="M221" s="22"/>
    </row>
    <row r="222" customFormat="false" ht="15" hidden="false" customHeight="true" outlineLevel="0" collapsed="false">
      <c r="A222" s="22" t="n">
        <v>221</v>
      </c>
      <c r="B222" s="25"/>
      <c r="C222" s="22"/>
      <c r="D222" s="22"/>
      <c r="E222" s="22"/>
      <c r="F222" s="22"/>
      <c r="G222" s="22"/>
      <c r="H222" s="22"/>
      <c r="I222" s="22"/>
      <c r="J222" s="25"/>
      <c r="K222" s="25"/>
      <c r="L222" s="25"/>
      <c r="M222" s="22"/>
    </row>
    <row r="223" customFormat="false" ht="15" hidden="false" customHeight="true" outlineLevel="0" collapsed="false">
      <c r="A223" s="22" t="n">
        <v>222</v>
      </c>
      <c r="B223" s="25"/>
      <c r="C223" s="22"/>
      <c r="D223" s="22"/>
      <c r="E223" s="22"/>
      <c r="F223" s="22"/>
      <c r="G223" s="22"/>
      <c r="H223" s="22"/>
      <c r="I223" s="22"/>
      <c r="J223" s="25"/>
      <c r="K223" s="25"/>
      <c r="L223" s="25"/>
      <c r="M223" s="22"/>
    </row>
    <row r="224" customFormat="false" ht="15" hidden="false" customHeight="true" outlineLevel="0" collapsed="false">
      <c r="A224" s="22" t="n">
        <v>223</v>
      </c>
      <c r="B224" s="25"/>
      <c r="C224" s="22"/>
      <c r="D224" s="22"/>
      <c r="E224" s="22"/>
      <c r="F224" s="22"/>
      <c r="G224" s="22"/>
      <c r="H224" s="22"/>
      <c r="I224" s="22"/>
      <c r="J224" s="25"/>
      <c r="K224" s="25"/>
      <c r="L224" s="25"/>
      <c r="M224" s="22"/>
    </row>
    <row r="225" customFormat="false" ht="15" hidden="false" customHeight="true" outlineLevel="0" collapsed="false">
      <c r="A225" s="22" t="n">
        <v>224</v>
      </c>
      <c r="B225" s="25"/>
      <c r="C225" s="22"/>
      <c r="D225" s="22"/>
      <c r="E225" s="22"/>
      <c r="F225" s="22"/>
      <c r="G225" s="22"/>
      <c r="H225" s="22"/>
      <c r="I225" s="22"/>
      <c r="J225" s="25"/>
      <c r="K225" s="25"/>
      <c r="L225" s="25"/>
      <c r="M225" s="22"/>
    </row>
    <row r="226" customFormat="false" ht="15" hidden="false" customHeight="true" outlineLevel="0" collapsed="false">
      <c r="A226" s="22" t="n">
        <v>225</v>
      </c>
      <c r="B226" s="25"/>
      <c r="C226" s="22"/>
      <c r="D226" s="22"/>
      <c r="E226" s="22"/>
      <c r="F226" s="22"/>
      <c r="G226" s="22"/>
      <c r="H226" s="22"/>
      <c r="I226" s="22"/>
      <c r="J226" s="25"/>
      <c r="K226" s="25"/>
      <c r="L226" s="25"/>
      <c r="M226" s="22"/>
    </row>
    <row r="227" customFormat="false" ht="15" hidden="false" customHeight="true" outlineLevel="0" collapsed="false">
      <c r="A227" s="22" t="n">
        <v>226</v>
      </c>
      <c r="B227" s="25"/>
      <c r="C227" s="22"/>
      <c r="D227" s="22"/>
      <c r="E227" s="22"/>
      <c r="F227" s="22"/>
      <c r="G227" s="22"/>
      <c r="H227" s="22"/>
      <c r="I227" s="22"/>
      <c r="J227" s="25"/>
      <c r="K227" s="25"/>
      <c r="L227" s="25"/>
      <c r="M227" s="22"/>
    </row>
    <row r="228" customFormat="false" ht="15" hidden="false" customHeight="true" outlineLevel="0" collapsed="false">
      <c r="A228" s="22" t="n">
        <v>227</v>
      </c>
      <c r="B228" s="25"/>
      <c r="C228" s="22"/>
      <c r="D228" s="22"/>
      <c r="E228" s="22"/>
      <c r="F228" s="22"/>
      <c r="G228" s="22"/>
      <c r="H228" s="22"/>
      <c r="I228" s="22"/>
      <c r="J228" s="25"/>
      <c r="K228" s="25"/>
      <c r="L228" s="25"/>
      <c r="M228" s="22"/>
    </row>
    <row r="229" customFormat="false" ht="15" hidden="false" customHeight="true" outlineLevel="0" collapsed="false">
      <c r="A229" s="22" t="n">
        <v>228</v>
      </c>
      <c r="B229" s="25"/>
      <c r="C229" s="22"/>
      <c r="D229" s="22"/>
      <c r="E229" s="22"/>
      <c r="F229" s="22"/>
      <c r="G229" s="22"/>
      <c r="H229" s="22"/>
      <c r="I229" s="22"/>
      <c r="J229" s="25"/>
      <c r="K229" s="25"/>
      <c r="L229" s="25"/>
      <c r="M229" s="22"/>
    </row>
    <row r="230" customFormat="false" ht="15" hidden="false" customHeight="true" outlineLevel="0" collapsed="false">
      <c r="A230" s="22" t="n">
        <v>229</v>
      </c>
      <c r="B230" s="25"/>
      <c r="C230" s="22"/>
      <c r="D230" s="22"/>
      <c r="E230" s="22"/>
      <c r="F230" s="22"/>
      <c r="G230" s="22"/>
      <c r="H230" s="22"/>
      <c r="I230" s="22"/>
      <c r="J230" s="25"/>
      <c r="K230" s="25"/>
      <c r="L230" s="25"/>
      <c r="M230" s="22"/>
    </row>
    <row r="231" customFormat="false" ht="15" hidden="false" customHeight="true" outlineLevel="0" collapsed="false">
      <c r="A231" s="22" t="n">
        <v>230</v>
      </c>
      <c r="B231" s="25"/>
      <c r="C231" s="22"/>
      <c r="D231" s="22"/>
      <c r="E231" s="22"/>
      <c r="F231" s="22"/>
      <c r="G231" s="22"/>
      <c r="H231" s="22"/>
      <c r="I231" s="22"/>
      <c r="J231" s="25"/>
      <c r="K231" s="25"/>
      <c r="L231" s="25"/>
      <c r="M231" s="22"/>
    </row>
    <row r="232" customFormat="false" ht="15" hidden="false" customHeight="true" outlineLevel="0" collapsed="false">
      <c r="A232" s="22" t="n">
        <v>231</v>
      </c>
      <c r="B232" s="25"/>
      <c r="C232" s="22"/>
      <c r="D232" s="22"/>
      <c r="E232" s="22"/>
      <c r="F232" s="22"/>
      <c r="G232" s="22"/>
      <c r="H232" s="22"/>
      <c r="I232" s="22"/>
      <c r="J232" s="25"/>
      <c r="K232" s="25"/>
      <c r="L232" s="25"/>
      <c r="M232" s="22"/>
    </row>
    <row r="233" customFormat="false" ht="15" hidden="false" customHeight="true" outlineLevel="0" collapsed="false">
      <c r="A233" s="22" t="n">
        <v>232</v>
      </c>
      <c r="B233" s="25"/>
      <c r="C233" s="22"/>
      <c r="D233" s="22"/>
      <c r="E233" s="22"/>
      <c r="F233" s="22"/>
      <c r="G233" s="22"/>
      <c r="H233" s="22"/>
      <c r="I233" s="22"/>
      <c r="J233" s="25"/>
      <c r="K233" s="25"/>
      <c r="L233" s="25"/>
      <c r="M233" s="22"/>
    </row>
    <row r="234" customFormat="false" ht="15" hidden="false" customHeight="true" outlineLevel="0" collapsed="false">
      <c r="A234" s="22" t="n">
        <v>233</v>
      </c>
      <c r="B234" s="25"/>
      <c r="C234" s="22"/>
      <c r="D234" s="22"/>
      <c r="E234" s="22"/>
      <c r="F234" s="22"/>
      <c r="G234" s="22"/>
      <c r="H234" s="22"/>
      <c r="I234" s="22"/>
      <c r="J234" s="25"/>
      <c r="K234" s="25"/>
      <c r="L234" s="25"/>
      <c r="M234" s="22"/>
    </row>
    <row r="235" customFormat="false" ht="15" hidden="false" customHeight="true" outlineLevel="0" collapsed="false">
      <c r="A235" s="22" t="n">
        <v>234</v>
      </c>
      <c r="B235" s="25"/>
      <c r="C235" s="22"/>
      <c r="D235" s="22"/>
      <c r="E235" s="22"/>
      <c r="F235" s="22"/>
      <c r="G235" s="22"/>
      <c r="H235" s="22"/>
      <c r="I235" s="22"/>
      <c r="J235" s="25"/>
      <c r="K235" s="25"/>
      <c r="L235" s="25"/>
      <c r="M235" s="22"/>
    </row>
    <row r="236" customFormat="false" ht="15" hidden="false" customHeight="true" outlineLevel="0" collapsed="false">
      <c r="A236" s="22" t="n">
        <v>235</v>
      </c>
      <c r="B236" s="25"/>
      <c r="C236" s="22"/>
      <c r="D236" s="22"/>
      <c r="E236" s="22"/>
      <c r="F236" s="22"/>
      <c r="G236" s="22"/>
      <c r="H236" s="22"/>
      <c r="I236" s="22"/>
      <c r="J236" s="25"/>
      <c r="K236" s="25"/>
      <c r="L236" s="25"/>
      <c r="M236" s="22"/>
    </row>
    <row r="237" customFormat="false" ht="15" hidden="false" customHeight="true" outlineLevel="0" collapsed="false">
      <c r="A237" s="22" t="n">
        <v>236</v>
      </c>
      <c r="B237" s="25"/>
      <c r="C237" s="22"/>
      <c r="D237" s="22"/>
      <c r="E237" s="22"/>
      <c r="F237" s="22"/>
      <c r="G237" s="22"/>
      <c r="H237" s="22"/>
      <c r="I237" s="22"/>
      <c r="J237" s="25"/>
      <c r="K237" s="25"/>
      <c r="L237" s="25"/>
      <c r="M237" s="22"/>
    </row>
    <row r="238" customFormat="false" ht="15" hidden="false" customHeight="true" outlineLevel="0" collapsed="false">
      <c r="A238" s="22" t="n">
        <v>237</v>
      </c>
      <c r="B238" s="25"/>
      <c r="C238" s="22"/>
      <c r="D238" s="22"/>
      <c r="E238" s="22"/>
      <c r="F238" s="22"/>
      <c r="G238" s="22"/>
      <c r="H238" s="22"/>
      <c r="I238" s="22"/>
      <c r="J238" s="25"/>
      <c r="K238" s="25"/>
      <c r="L238" s="25"/>
      <c r="M238" s="22"/>
    </row>
    <row r="239" customFormat="false" ht="15" hidden="false" customHeight="true" outlineLevel="0" collapsed="false">
      <c r="A239" s="22" t="n">
        <v>238</v>
      </c>
      <c r="B239" s="25"/>
      <c r="C239" s="22"/>
      <c r="D239" s="22"/>
      <c r="E239" s="22"/>
      <c r="F239" s="22"/>
      <c r="G239" s="22"/>
      <c r="H239" s="22"/>
      <c r="I239" s="22"/>
      <c r="J239" s="25"/>
      <c r="K239" s="25"/>
      <c r="L239" s="25"/>
      <c r="M239" s="22"/>
    </row>
    <row r="240" customFormat="false" ht="15" hidden="false" customHeight="true" outlineLevel="0" collapsed="false">
      <c r="A240" s="22" t="n">
        <v>239</v>
      </c>
      <c r="B240" s="25"/>
      <c r="C240" s="22"/>
      <c r="D240" s="22"/>
      <c r="E240" s="22"/>
      <c r="F240" s="22"/>
      <c r="G240" s="22"/>
      <c r="H240" s="22"/>
      <c r="I240" s="22"/>
      <c r="J240" s="25"/>
      <c r="K240" s="25"/>
      <c r="L240" s="25"/>
      <c r="M240" s="22"/>
    </row>
    <row r="241" customFormat="false" ht="15" hidden="false" customHeight="true" outlineLevel="0" collapsed="false">
      <c r="A241" s="22" t="n">
        <v>240</v>
      </c>
      <c r="B241" s="25"/>
      <c r="C241" s="22"/>
      <c r="D241" s="22"/>
      <c r="E241" s="22"/>
      <c r="F241" s="22"/>
      <c r="G241" s="22"/>
      <c r="H241" s="22"/>
      <c r="I241" s="22"/>
      <c r="J241" s="25"/>
      <c r="K241" s="25"/>
      <c r="L241" s="25"/>
      <c r="M241" s="22"/>
    </row>
    <row r="242" customFormat="false" ht="15" hidden="false" customHeight="true" outlineLevel="0" collapsed="false">
      <c r="A242" s="22" t="n">
        <v>241</v>
      </c>
      <c r="B242" s="25"/>
      <c r="C242" s="22"/>
      <c r="D242" s="22"/>
      <c r="E242" s="22"/>
      <c r="F242" s="22"/>
      <c r="G242" s="22"/>
      <c r="H242" s="22"/>
      <c r="I242" s="22"/>
      <c r="J242" s="25"/>
      <c r="K242" s="25"/>
      <c r="L242" s="25"/>
      <c r="M242" s="22"/>
    </row>
    <row r="243" customFormat="false" ht="15" hidden="false" customHeight="true" outlineLevel="0" collapsed="false">
      <c r="A243" s="22" t="n">
        <v>242</v>
      </c>
      <c r="B243" s="25"/>
      <c r="C243" s="22"/>
      <c r="D243" s="22"/>
      <c r="E243" s="22"/>
      <c r="F243" s="22"/>
      <c r="G243" s="22"/>
      <c r="H243" s="22"/>
      <c r="I243" s="22"/>
      <c r="J243" s="25"/>
      <c r="K243" s="25"/>
      <c r="L243" s="25"/>
      <c r="M243" s="22"/>
    </row>
    <row r="244" customFormat="false" ht="15" hidden="false" customHeight="true" outlineLevel="0" collapsed="false">
      <c r="A244" s="22" t="n">
        <v>243</v>
      </c>
      <c r="B244" s="25"/>
      <c r="C244" s="22"/>
      <c r="D244" s="22"/>
      <c r="E244" s="22"/>
      <c r="F244" s="22"/>
      <c r="G244" s="22"/>
      <c r="H244" s="22"/>
      <c r="I244" s="22"/>
      <c r="J244" s="25"/>
      <c r="K244" s="25"/>
      <c r="L244" s="25"/>
      <c r="M244" s="22"/>
    </row>
    <row r="245" customFormat="false" ht="15" hidden="false" customHeight="true" outlineLevel="0" collapsed="false">
      <c r="A245" s="22" t="n">
        <v>244</v>
      </c>
      <c r="B245" s="25"/>
      <c r="C245" s="22"/>
      <c r="D245" s="22"/>
      <c r="E245" s="22"/>
      <c r="F245" s="22"/>
      <c r="G245" s="22"/>
      <c r="H245" s="22"/>
      <c r="I245" s="22"/>
      <c r="J245" s="25"/>
      <c r="K245" s="25"/>
      <c r="L245" s="25"/>
      <c r="M245" s="22"/>
    </row>
    <row r="246" customFormat="false" ht="15" hidden="false" customHeight="true" outlineLevel="0" collapsed="false">
      <c r="A246" s="22" t="n">
        <v>245</v>
      </c>
      <c r="B246" s="25"/>
      <c r="C246" s="22"/>
      <c r="D246" s="22"/>
      <c r="E246" s="22"/>
      <c r="F246" s="22"/>
      <c r="G246" s="22"/>
      <c r="H246" s="22"/>
      <c r="I246" s="22"/>
      <c r="J246" s="25"/>
      <c r="K246" s="25"/>
      <c r="L246" s="25"/>
      <c r="M246" s="22"/>
    </row>
    <row r="247" customFormat="false" ht="15" hidden="false" customHeight="true" outlineLevel="0" collapsed="false">
      <c r="A247" s="22" t="n">
        <v>246</v>
      </c>
      <c r="B247" s="25"/>
      <c r="C247" s="22"/>
      <c r="D247" s="22"/>
      <c r="E247" s="22"/>
      <c r="F247" s="22"/>
      <c r="G247" s="22"/>
      <c r="H247" s="22"/>
      <c r="I247" s="22"/>
      <c r="J247" s="25"/>
      <c r="K247" s="25"/>
      <c r="L247" s="25"/>
      <c r="M247" s="22"/>
    </row>
    <row r="248" customFormat="false" ht="15" hidden="false" customHeight="true" outlineLevel="0" collapsed="false">
      <c r="A248" s="22" t="n">
        <v>247</v>
      </c>
      <c r="B248" s="25"/>
      <c r="C248" s="22"/>
      <c r="D248" s="22"/>
      <c r="E248" s="22"/>
      <c r="F248" s="22"/>
      <c r="G248" s="22"/>
      <c r="H248" s="22"/>
      <c r="I248" s="22"/>
      <c r="J248" s="25"/>
      <c r="K248" s="25"/>
      <c r="L248" s="25"/>
      <c r="M248" s="22"/>
    </row>
    <row r="249" customFormat="false" ht="15" hidden="false" customHeight="true" outlineLevel="0" collapsed="false">
      <c r="A249" s="22" t="n">
        <v>248</v>
      </c>
      <c r="B249" s="25"/>
      <c r="C249" s="22"/>
      <c r="D249" s="22"/>
      <c r="E249" s="22"/>
      <c r="F249" s="22"/>
      <c r="G249" s="22"/>
      <c r="H249" s="22"/>
      <c r="I249" s="22"/>
      <c r="J249" s="25"/>
      <c r="K249" s="25"/>
      <c r="L249" s="25"/>
      <c r="M249" s="22"/>
    </row>
    <row r="250" customFormat="false" ht="15" hidden="false" customHeight="true" outlineLevel="0" collapsed="false">
      <c r="A250" s="22" t="n">
        <v>249</v>
      </c>
      <c r="B250" s="25"/>
      <c r="C250" s="22"/>
      <c r="D250" s="22"/>
      <c r="E250" s="22"/>
      <c r="F250" s="22"/>
      <c r="G250" s="22"/>
      <c r="H250" s="22"/>
      <c r="I250" s="22"/>
      <c r="J250" s="25"/>
      <c r="K250" s="25"/>
      <c r="L250" s="25"/>
      <c r="M250" s="22"/>
    </row>
    <row r="251" customFormat="false" ht="15" hidden="false" customHeight="true" outlineLevel="0" collapsed="false">
      <c r="A251" s="22" t="n">
        <v>250</v>
      </c>
      <c r="B251" s="25"/>
      <c r="C251" s="22"/>
      <c r="D251" s="22"/>
      <c r="E251" s="22"/>
      <c r="F251" s="22"/>
      <c r="G251" s="22"/>
      <c r="H251" s="22"/>
      <c r="I251" s="22"/>
      <c r="J251" s="25"/>
      <c r="K251" s="25"/>
      <c r="L251" s="25"/>
      <c r="M251" s="22"/>
    </row>
    <row r="252" customFormat="false" ht="15" hidden="false" customHeight="true" outlineLevel="0" collapsed="false">
      <c r="A252" s="22" t="n">
        <v>251</v>
      </c>
      <c r="B252" s="25"/>
      <c r="C252" s="22"/>
      <c r="D252" s="22"/>
      <c r="E252" s="22"/>
      <c r="F252" s="22"/>
      <c r="G252" s="22"/>
      <c r="H252" s="22"/>
      <c r="I252" s="22"/>
      <c r="J252" s="25"/>
      <c r="K252" s="25"/>
      <c r="L252" s="25"/>
      <c r="M252" s="22"/>
    </row>
    <row r="253" customFormat="false" ht="15" hidden="false" customHeight="true" outlineLevel="0" collapsed="false">
      <c r="A253" s="22" t="n">
        <v>252</v>
      </c>
      <c r="B253" s="25"/>
      <c r="C253" s="22"/>
      <c r="D253" s="22"/>
      <c r="E253" s="22"/>
      <c r="F253" s="22"/>
      <c r="G253" s="22"/>
      <c r="H253" s="22"/>
      <c r="I253" s="22"/>
      <c r="J253" s="25"/>
      <c r="K253" s="25"/>
      <c r="L253" s="25"/>
      <c r="M253" s="22"/>
    </row>
    <row r="254" customFormat="false" ht="15" hidden="false" customHeight="true" outlineLevel="0" collapsed="false">
      <c r="A254" s="22" t="n">
        <v>253</v>
      </c>
      <c r="B254" s="25"/>
      <c r="C254" s="22"/>
      <c r="D254" s="22"/>
      <c r="E254" s="22"/>
      <c r="F254" s="22"/>
      <c r="G254" s="22"/>
      <c r="H254" s="22"/>
      <c r="I254" s="22"/>
      <c r="J254" s="25"/>
      <c r="K254" s="25"/>
      <c r="L254" s="25"/>
      <c r="M254" s="22"/>
    </row>
    <row r="255" customFormat="false" ht="15" hidden="false" customHeight="true" outlineLevel="0" collapsed="false">
      <c r="A255" s="22" t="n">
        <v>254</v>
      </c>
      <c r="B255" s="25"/>
      <c r="C255" s="22"/>
      <c r="D255" s="22"/>
      <c r="E255" s="22"/>
      <c r="F255" s="22"/>
      <c r="G255" s="22"/>
      <c r="H255" s="22"/>
      <c r="I255" s="22"/>
      <c r="J255" s="25"/>
      <c r="K255" s="25"/>
      <c r="L255" s="25"/>
      <c r="M255" s="22"/>
    </row>
    <row r="256" customFormat="false" ht="15" hidden="false" customHeight="true" outlineLevel="0" collapsed="false">
      <c r="A256" s="22" t="n">
        <v>255</v>
      </c>
      <c r="B256" s="25"/>
      <c r="C256" s="22"/>
      <c r="D256" s="22"/>
      <c r="E256" s="22"/>
      <c r="F256" s="22"/>
      <c r="G256" s="22"/>
      <c r="H256" s="22"/>
      <c r="I256" s="22"/>
      <c r="J256" s="25"/>
      <c r="K256" s="25"/>
      <c r="L256" s="25"/>
      <c r="M256" s="22"/>
    </row>
    <row r="257" customFormat="false" ht="15" hidden="false" customHeight="true" outlineLevel="0" collapsed="false">
      <c r="A257" s="22" t="n">
        <v>256</v>
      </c>
      <c r="B257" s="25"/>
      <c r="C257" s="22"/>
      <c r="D257" s="22"/>
      <c r="E257" s="22"/>
      <c r="F257" s="22"/>
      <c r="G257" s="22"/>
      <c r="H257" s="22"/>
      <c r="I257" s="22"/>
      <c r="J257" s="25"/>
      <c r="K257" s="25"/>
      <c r="L257" s="25"/>
      <c r="M257" s="22"/>
    </row>
    <row r="258" customFormat="false" ht="15" hidden="false" customHeight="true" outlineLevel="0" collapsed="false">
      <c r="A258" s="22" t="n">
        <v>257</v>
      </c>
      <c r="B258" s="25"/>
      <c r="C258" s="22"/>
      <c r="D258" s="22"/>
      <c r="E258" s="22"/>
      <c r="F258" s="22"/>
      <c r="G258" s="22"/>
      <c r="H258" s="22"/>
      <c r="I258" s="22"/>
      <c r="J258" s="25"/>
      <c r="K258" s="25"/>
      <c r="L258" s="25"/>
      <c r="M258" s="22"/>
    </row>
    <row r="259" customFormat="false" ht="15" hidden="false" customHeight="true" outlineLevel="0" collapsed="false">
      <c r="A259" s="22" t="n">
        <v>258</v>
      </c>
      <c r="B259" s="25"/>
      <c r="C259" s="22"/>
      <c r="D259" s="22"/>
      <c r="E259" s="22"/>
      <c r="F259" s="22"/>
      <c r="G259" s="22"/>
      <c r="H259" s="22"/>
      <c r="I259" s="22"/>
      <c r="J259" s="25"/>
      <c r="K259" s="25"/>
      <c r="L259" s="25"/>
      <c r="M259" s="22"/>
    </row>
    <row r="260" customFormat="false" ht="15" hidden="false" customHeight="true" outlineLevel="0" collapsed="false">
      <c r="A260" s="22" t="n">
        <v>259</v>
      </c>
      <c r="B260" s="25"/>
      <c r="C260" s="22"/>
      <c r="D260" s="22"/>
      <c r="E260" s="22"/>
      <c r="F260" s="22"/>
      <c r="G260" s="22"/>
      <c r="H260" s="22"/>
      <c r="I260" s="22"/>
      <c r="J260" s="25"/>
      <c r="K260" s="25"/>
      <c r="L260" s="25"/>
      <c r="M260" s="22"/>
    </row>
    <row r="261" customFormat="false" ht="15" hidden="false" customHeight="true" outlineLevel="0" collapsed="false">
      <c r="A261" s="22" t="n">
        <v>260</v>
      </c>
      <c r="B261" s="25"/>
      <c r="C261" s="22"/>
      <c r="D261" s="22"/>
      <c r="E261" s="22"/>
      <c r="F261" s="22"/>
      <c r="G261" s="22"/>
      <c r="H261" s="22"/>
      <c r="I261" s="22"/>
      <c r="J261" s="25"/>
      <c r="K261" s="25"/>
      <c r="L261" s="25"/>
      <c r="M261" s="22"/>
    </row>
    <row r="262" customFormat="false" ht="15" hidden="false" customHeight="true" outlineLevel="0" collapsed="false">
      <c r="A262" s="22" t="n">
        <v>261</v>
      </c>
      <c r="B262" s="25"/>
      <c r="C262" s="22"/>
      <c r="D262" s="22"/>
      <c r="E262" s="22"/>
      <c r="F262" s="22"/>
      <c r="G262" s="22"/>
      <c r="H262" s="22"/>
      <c r="I262" s="22"/>
      <c r="J262" s="25"/>
      <c r="K262" s="25"/>
      <c r="L262" s="25"/>
      <c r="M262" s="22"/>
    </row>
    <row r="263" customFormat="false" ht="15" hidden="false" customHeight="true" outlineLevel="0" collapsed="false">
      <c r="A263" s="22" t="n">
        <v>262</v>
      </c>
      <c r="B263" s="25"/>
      <c r="C263" s="22"/>
      <c r="D263" s="22"/>
      <c r="E263" s="22"/>
      <c r="F263" s="22"/>
      <c r="G263" s="22"/>
      <c r="H263" s="22"/>
      <c r="I263" s="22"/>
      <c r="J263" s="25"/>
      <c r="K263" s="25"/>
      <c r="L263" s="25"/>
      <c r="M263" s="22"/>
    </row>
    <row r="264" customFormat="false" ht="15" hidden="false" customHeight="true" outlineLevel="0" collapsed="false">
      <c r="A264" s="22" t="n">
        <v>263</v>
      </c>
      <c r="B264" s="25"/>
      <c r="C264" s="22"/>
      <c r="D264" s="22"/>
      <c r="E264" s="22"/>
      <c r="F264" s="22"/>
      <c r="G264" s="22"/>
      <c r="H264" s="22"/>
      <c r="I264" s="22"/>
      <c r="J264" s="25"/>
      <c r="K264" s="25"/>
      <c r="L264" s="25"/>
      <c r="M264" s="22"/>
    </row>
    <row r="265" customFormat="false" ht="15" hidden="false" customHeight="true" outlineLevel="0" collapsed="false">
      <c r="A265" s="22" t="n">
        <v>264</v>
      </c>
      <c r="B265" s="25"/>
      <c r="C265" s="22"/>
      <c r="D265" s="22"/>
      <c r="E265" s="22"/>
      <c r="F265" s="22"/>
      <c r="G265" s="22"/>
      <c r="H265" s="22"/>
      <c r="I265" s="22"/>
      <c r="J265" s="25"/>
      <c r="K265" s="25"/>
      <c r="L265" s="25"/>
      <c r="M265" s="22"/>
    </row>
    <row r="266" customFormat="false" ht="15" hidden="false" customHeight="true" outlineLevel="0" collapsed="false">
      <c r="A266" s="22" t="n">
        <v>265</v>
      </c>
      <c r="B266" s="25"/>
      <c r="C266" s="22"/>
      <c r="D266" s="22"/>
      <c r="E266" s="22"/>
      <c r="F266" s="22"/>
      <c r="G266" s="22"/>
      <c r="H266" s="22"/>
      <c r="I266" s="22"/>
      <c r="J266" s="25"/>
      <c r="K266" s="25"/>
      <c r="L266" s="25"/>
      <c r="M266" s="22"/>
    </row>
    <row r="267" customFormat="false" ht="15" hidden="false" customHeight="true" outlineLevel="0" collapsed="false">
      <c r="A267" s="22" t="n">
        <v>266</v>
      </c>
      <c r="B267" s="25"/>
      <c r="C267" s="22"/>
      <c r="D267" s="22"/>
      <c r="E267" s="22"/>
      <c r="F267" s="22"/>
      <c r="G267" s="22"/>
      <c r="H267" s="22"/>
      <c r="I267" s="22"/>
      <c r="J267" s="25"/>
      <c r="K267" s="25"/>
      <c r="L267" s="25"/>
      <c r="M267" s="22"/>
    </row>
    <row r="268" customFormat="false" ht="15" hidden="false" customHeight="true" outlineLevel="0" collapsed="false">
      <c r="A268" s="22" t="n">
        <v>267</v>
      </c>
      <c r="B268" s="25"/>
      <c r="C268" s="22"/>
      <c r="D268" s="22"/>
      <c r="E268" s="22"/>
      <c r="F268" s="22"/>
      <c r="G268" s="22"/>
      <c r="H268" s="22"/>
      <c r="I268" s="22"/>
      <c r="J268" s="25"/>
      <c r="K268" s="25"/>
      <c r="L268" s="25"/>
      <c r="M268" s="22"/>
    </row>
    <row r="269" customFormat="false" ht="15" hidden="false" customHeight="true" outlineLevel="0" collapsed="false">
      <c r="A269" s="22" t="n">
        <v>268</v>
      </c>
      <c r="B269" s="25"/>
      <c r="C269" s="22"/>
      <c r="D269" s="22"/>
      <c r="E269" s="22"/>
      <c r="F269" s="22"/>
      <c r="G269" s="22"/>
      <c r="H269" s="22"/>
      <c r="I269" s="22"/>
      <c r="J269" s="25"/>
      <c r="K269" s="25"/>
      <c r="L269" s="25"/>
      <c r="M269" s="22"/>
    </row>
    <row r="270" customFormat="false" ht="15" hidden="false" customHeight="true" outlineLevel="0" collapsed="false">
      <c r="A270" s="22" t="n">
        <v>269</v>
      </c>
      <c r="B270" s="25"/>
      <c r="C270" s="22"/>
      <c r="D270" s="22"/>
      <c r="E270" s="22"/>
      <c r="F270" s="22"/>
      <c r="G270" s="22"/>
      <c r="H270" s="22"/>
      <c r="I270" s="22"/>
      <c r="J270" s="25"/>
      <c r="K270" s="25"/>
      <c r="L270" s="25"/>
      <c r="M270" s="22"/>
    </row>
    <row r="271" customFormat="false" ht="15" hidden="false" customHeight="true" outlineLevel="0" collapsed="false">
      <c r="A271" s="22" t="n">
        <v>270</v>
      </c>
      <c r="B271" s="25"/>
      <c r="C271" s="22"/>
      <c r="D271" s="22"/>
      <c r="E271" s="22"/>
      <c r="F271" s="22"/>
      <c r="G271" s="22"/>
      <c r="H271" s="22"/>
      <c r="I271" s="22"/>
      <c r="J271" s="25"/>
      <c r="K271" s="25"/>
      <c r="L271" s="25"/>
      <c r="M271" s="22"/>
    </row>
    <row r="272" customFormat="false" ht="15" hidden="false" customHeight="true" outlineLevel="0" collapsed="false">
      <c r="A272" s="22" t="n">
        <v>271</v>
      </c>
      <c r="B272" s="25"/>
      <c r="C272" s="22"/>
      <c r="D272" s="22"/>
      <c r="E272" s="22"/>
      <c r="F272" s="22"/>
      <c r="G272" s="22"/>
      <c r="H272" s="22"/>
      <c r="I272" s="22"/>
      <c r="J272" s="25"/>
      <c r="K272" s="25"/>
      <c r="L272" s="25"/>
      <c r="M272" s="22"/>
    </row>
    <row r="273" customFormat="false" ht="15" hidden="false" customHeight="true" outlineLevel="0" collapsed="false">
      <c r="A273" s="22" t="n">
        <v>272</v>
      </c>
      <c r="B273" s="25"/>
      <c r="C273" s="22"/>
      <c r="D273" s="22"/>
      <c r="E273" s="22"/>
      <c r="F273" s="22"/>
      <c r="G273" s="22"/>
      <c r="H273" s="22"/>
      <c r="I273" s="22"/>
      <c r="J273" s="25"/>
      <c r="K273" s="25"/>
      <c r="L273" s="25"/>
      <c r="M273" s="22"/>
    </row>
    <row r="274" customFormat="false" ht="15" hidden="false" customHeight="true" outlineLevel="0" collapsed="false">
      <c r="A274" s="22" t="n">
        <v>273</v>
      </c>
      <c r="B274" s="25"/>
      <c r="C274" s="22"/>
      <c r="D274" s="22"/>
      <c r="E274" s="22"/>
      <c r="F274" s="22"/>
      <c r="G274" s="22"/>
      <c r="H274" s="22"/>
      <c r="I274" s="22"/>
      <c r="J274" s="25"/>
      <c r="K274" s="25"/>
      <c r="L274" s="25"/>
      <c r="M274" s="22"/>
    </row>
    <row r="275" customFormat="false" ht="15" hidden="false" customHeight="true" outlineLevel="0" collapsed="false">
      <c r="A275" s="22" t="n">
        <v>274</v>
      </c>
      <c r="B275" s="25"/>
      <c r="C275" s="22"/>
      <c r="D275" s="22"/>
      <c r="E275" s="22"/>
      <c r="F275" s="22"/>
      <c r="G275" s="22"/>
      <c r="H275" s="22"/>
      <c r="I275" s="22"/>
      <c r="J275" s="25"/>
      <c r="K275" s="25"/>
      <c r="L275" s="25"/>
      <c r="M275" s="22"/>
    </row>
    <row r="276" customFormat="false" ht="15" hidden="false" customHeight="true" outlineLevel="0" collapsed="false">
      <c r="A276" s="22" t="n">
        <v>275</v>
      </c>
      <c r="B276" s="25"/>
      <c r="C276" s="22"/>
      <c r="D276" s="22"/>
      <c r="E276" s="22"/>
      <c r="F276" s="22"/>
      <c r="G276" s="22"/>
      <c r="H276" s="22"/>
      <c r="I276" s="22"/>
      <c r="J276" s="25"/>
      <c r="K276" s="25"/>
      <c r="L276" s="25"/>
      <c r="M276" s="22"/>
    </row>
    <row r="277" customFormat="false" ht="15" hidden="false" customHeight="true" outlineLevel="0" collapsed="false">
      <c r="A277" s="22" t="n">
        <v>276</v>
      </c>
      <c r="B277" s="25"/>
      <c r="C277" s="22"/>
      <c r="D277" s="22"/>
      <c r="E277" s="22"/>
      <c r="F277" s="22"/>
      <c r="G277" s="22"/>
      <c r="H277" s="22"/>
      <c r="I277" s="22"/>
      <c r="J277" s="25"/>
      <c r="K277" s="25"/>
      <c r="L277" s="25"/>
      <c r="M277" s="22"/>
    </row>
    <row r="278" customFormat="false" ht="15" hidden="false" customHeight="true" outlineLevel="0" collapsed="false">
      <c r="A278" s="22" t="n">
        <v>277</v>
      </c>
      <c r="B278" s="25"/>
      <c r="C278" s="22"/>
      <c r="D278" s="22"/>
      <c r="E278" s="22"/>
      <c r="F278" s="22"/>
      <c r="G278" s="22"/>
      <c r="H278" s="22"/>
      <c r="I278" s="22"/>
      <c r="J278" s="25"/>
      <c r="K278" s="25"/>
      <c r="L278" s="25"/>
      <c r="M278" s="22"/>
    </row>
    <row r="279" customFormat="false" ht="15" hidden="false" customHeight="true" outlineLevel="0" collapsed="false">
      <c r="A279" s="22" t="n">
        <v>278</v>
      </c>
      <c r="B279" s="25"/>
      <c r="C279" s="22"/>
      <c r="D279" s="22"/>
      <c r="E279" s="22"/>
      <c r="F279" s="22"/>
      <c r="G279" s="22"/>
      <c r="H279" s="22"/>
      <c r="I279" s="22"/>
      <c r="J279" s="25"/>
      <c r="K279" s="25"/>
      <c r="L279" s="25"/>
      <c r="M279" s="22"/>
    </row>
    <row r="280" customFormat="false" ht="15" hidden="false" customHeight="true" outlineLevel="0" collapsed="false">
      <c r="A280" s="22" t="n">
        <v>279</v>
      </c>
      <c r="B280" s="25"/>
      <c r="C280" s="22"/>
      <c r="D280" s="22"/>
      <c r="E280" s="22"/>
      <c r="F280" s="22"/>
      <c r="G280" s="22"/>
      <c r="H280" s="22"/>
      <c r="I280" s="22"/>
      <c r="J280" s="25"/>
      <c r="K280" s="25"/>
      <c r="L280" s="25"/>
      <c r="M280" s="22"/>
    </row>
    <row r="281" customFormat="false" ht="15" hidden="false" customHeight="true" outlineLevel="0" collapsed="false">
      <c r="A281" s="22" t="n">
        <v>280</v>
      </c>
      <c r="B281" s="25"/>
      <c r="C281" s="22"/>
      <c r="D281" s="22"/>
      <c r="E281" s="22"/>
      <c r="F281" s="22"/>
      <c r="G281" s="22"/>
      <c r="H281" s="22"/>
      <c r="I281" s="22"/>
      <c r="J281" s="25"/>
      <c r="K281" s="25"/>
      <c r="L281" s="25"/>
      <c r="M281" s="22"/>
    </row>
    <row r="282" customFormat="false" ht="15" hidden="false" customHeight="true" outlineLevel="0" collapsed="false">
      <c r="A282" s="22" t="n">
        <v>281</v>
      </c>
      <c r="B282" s="25"/>
      <c r="C282" s="22"/>
      <c r="D282" s="22"/>
      <c r="E282" s="22"/>
      <c r="F282" s="22"/>
      <c r="G282" s="22"/>
      <c r="H282" s="22"/>
      <c r="I282" s="22"/>
      <c r="J282" s="25"/>
      <c r="K282" s="25"/>
      <c r="L282" s="25"/>
      <c r="M282" s="22"/>
    </row>
    <row r="283" customFormat="false" ht="15" hidden="false" customHeight="true" outlineLevel="0" collapsed="false">
      <c r="A283" s="22" t="n">
        <v>282</v>
      </c>
      <c r="B283" s="25"/>
      <c r="C283" s="22"/>
      <c r="D283" s="22"/>
      <c r="E283" s="22"/>
      <c r="F283" s="22"/>
      <c r="G283" s="22"/>
      <c r="H283" s="22"/>
      <c r="I283" s="22"/>
      <c r="J283" s="25"/>
      <c r="K283" s="25"/>
      <c r="L283" s="25"/>
      <c r="M283" s="22"/>
    </row>
    <row r="284" customFormat="false" ht="15" hidden="false" customHeight="true" outlineLevel="0" collapsed="false">
      <c r="A284" s="22" t="n">
        <v>283</v>
      </c>
      <c r="B284" s="25"/>
      <c r="C284" s="22"/>
      <c r="D284" s="22"/>
      <c r="E284" s="22"/>
      <c r="F284" s="22"/>
      <c r="G284" s="22"/>
      <c r="H284" s="22"/>
      <c r="I284" s="22"/>
      <c r="J284" s="25"/>
      <c r="K284" s="25"/>
      <c r="L284" s="25"/>
      <c r="M284" s="22"/>
    </row>
    <row r="285" customFormat="false" ht="15" hidden="false" customHeight="true" outlineLevel="0" collapsed="false">
      <c r="A285" s="22" t="n">
        <v>284</v>
      </c>
      <c r="B285" s="25"/>
      <c r="C285" s="22"/>
      <c r="D285" s="22"/>
      <c r="E285" s="22"/>
      <c r="F285" s="22"/>
      <c r="G285" s="22"/>
      <c r="H285" s="22"/>
      <c r="I285" s="22"/>
      <c r="J285" s="25"/>
      <c r="K285" s="25"/>
      <c r="L285" s="25"/>
      <c r="M285" s="22"/>
    </row>
    <row r="286" customFormat="false" ht="15" hidden="false" customHeight="true" outlineLevel="0" collapsed="false">
      <c r="A286" s="22" t="n">
        <v>285</v>
      </c>
      <c r="B286" s="25"/>
      <c r="C286" s="22"/>
      <c r="D286" s="22"/>
      <c r="E286" s="22"/>
      <c r="F286" s="22"/>
      <c r="G286" s="22"/>
      <c r="H286" s="22"/>
      <c r="I286" s="22"/>
      <c r="J286" s="25"/>
      <c r="K286" s="25"/>
      <c r="L286" s="25"/>
      <c r="M286" s="22"/>
    </row>
    <row r="287" customFormat="false" ht="15" hidden="false" customHeight="true" outlineLevel="0" collapsed="false">
      <c r="A287" s="22" t="n">
        <v>286</v>
      </c>
      <c r="B287" s="25"/>
      <c r="C287" s="22"/>
      <c r="D287" s="22"/>
      <c r="E287" s="22"/>
      <c r="F287" s="22"/>
      <c r="G287" s="22"/>
      <c r="H287" s="22"/>
      <c r="I287" s="22"/>
      <c r="J287" s="25"/>
      <c r="K287" s="25"/>
      <c r="L287" s="25"/>
      <c r="M287" s="22"/>
    </row>
    <row r="288" customFormat="false" ht="15" hidden="false" customHeight="true" outlineLevel="0" collapsed="false">
      <c r="A288" s="22" t="n">
        <v>287</v>
      </c>
      <c r="B288" s="25"/>
      <c r="C288" s="22"/>
      <c r="D288" s="22"/>
      <c r="E288" s="22"/>
      <c r="F288" s="22"/>
      <c r="G288" s="22"/>
      <c r="H288" s="22"/>
      <c r="I288" s="22"/>
      <c r="J288" s="25"/>
      <c r="K288" s="25"/>
      <c r="L288" s="25"/>
      <c r="M288" s="22"/>
    </row>
    <row r="289" customFormat="false" ht="15" hidden="false" customHeight="true" outlineLevel="0" collapsed="false">
      <c r="A289" s="22" t="n">
        <v>288</v>
      </c>
      <c r="B289" s="25"/>
      <c r="C289" s="22"/>
      <c r="D289" s="22"/>
      <c r="E289" s="22"/>
      <c r="F289" s="22"/>
      <c r="G289" s="22"/>
      <c r="H289" s="22"/>
      <c r="I289" s="22"/>
      <c r="J289" s="25"/>
      <c r="K289" s="25"/>
      <c r="L289" s="25"/>
      <c r="M289" s="22"/>
    </row>
    <row r="290" customFormat="false" ht="15" hidden="false" customHeight="true" outlineLevel="0" collapsed="false">
      <c r="A290" s="22" t="n">
        <v>289</v>
      </c>
      <c r="B290" s="25"/>
      <c r="C290" s="22"/>
      <c r="D290" s="22"/>
      <c r="E290" s="22"/>
      <c r="F290" s="22"/>
      <c r="G290" s="22"/>
      <c r="H290" s="22"/>
      <c r="I290" s="22"/>
      <c r="J290" s="25"/>
      <c r="K290" s="25"/>
      <c r="L290" s="25"/>
      <c r="M290" s="22"/>
    </row>
    <row r="291" customFormat="false" ht="15" hidden="false" customHeight="true" outlineLevel="0" collapsed="false">
      <c r="A291" s="22" t="n">
        <v>290</v>
      </c>
      <c r="B291" s="25"/>
      <c r="C291" s="22"/>
      <c r="D291" s="22"/>
      <c r="E291" s="22"/>
      <c r="F291" s="22"/>
      <c r="G291" s="22"/>
      <c r="H291" s="22"/>
      <c r="I291" s="22"/>
      <c r="J291" s="25"/>
      <c r="K291" s="25"/>
      <c r="L291" s="25"/>
      <c r="M291" s="22"/>
    </row>
    <row r="292" customFormat="false" ht="15" hidden="false" customHeight="true" outlineLevel="0" collapsed="false">
      <c r="A292" s="22" t="n">
        <v>291</v>
      </c>
      <c r="B292" s="25"/>
      <c r="C292" s="22"/>
      <c r="D292" s="22"/>
      <c r="E292" s="22"/>
      <c r="F292" s="22"/>
      <c r="G292" s="22"/>
      <c r="H292" s="22"/>
      <c r="I292" s="22"/>
      <c r="J292" s="25"/>
      <c r="K292" s="25"/>
      <c r="L292" s="25"/>
      <c r="M292" s="22"/>
    </row>
    <row r="293" customFormat="false" ht="15" hidden="false" customHeight="true" outlineLevel="0" collapsed="false">
      <c r="A293" s="22" t="n">
        <v>292</v>
      </c>
      <c r="B293" s="25"/>
      <c r="C293" s="22"/>
      <c r="D293" s="22"/>
      <c r="E293" s="22"/>
      <c r="F293" s="22"/>
      <c r="G293" s="22"/>
      <c r="H293" s="22"/>
      <c r="I293" s="22"/>
      <c r="J293" s="25"/>
      <c r="K293" s="25"/>
      <c r="L293" s="25"/>
      <c r="M293" s="22"/>
    </row>
    <row r="294" customFormat="false" ht="15" hidden="false" customHeight="true" outlineLevel="0" collapsed="false">
      <c r="A294" s="22" t="n">
        <v>293</v>
      </c>
      <c r="B294" s="25"/>
      <c r="C294" s="22"/>
      <c r="D294" s="22"/>
      <c r="E294" s="22"/>
      <c r="F294" s="22"/>
      <c r="G294" s="22"/>
      <c r="H294" s="22"/>
      <c r="I294" s="22"/>
      <c r="J294" s="25"/>
      <c r="K294" s="25"/>
      <c r="L294" s="25"/>
      <c r="M294" s="22"/>
    </row>
    <row r="295" customFormat="false" ht="15" hidden="false" customHeight="true" outlineLevel="0" collapsed="false">
      <c r="A295" s="22" t="n">
        <v>294</v>
      </c>
      <c r="B295" s="25"/>
      <c r="C295" s="22"/>
      <c r="D295" s="22"/>
      <c r="E295" s="22"/>
      <c r="F295" s="22"/>
      <c r="G295" s="22"/>
      <c r="H295" s="22"/>
      <c r="I295" s="22"/>
      <c r="J295" s="25"/>
      <c r="K295" s="25"/>
      <c r="L295" s="25"/>
      <c r="M295" s="22"/>
    </row>
    <row r="296" customFormat="false" ht="15" hidden="false" customHeight="true" outlineLevel="0" collapsed="false">
      <c r="A296" s="22" t="n">
        <v>295</v>
      </c>
      <c r="B296" s="25"/>
      <c r="C296" s="22"/>
      <c r="D296" s="22"/>
      <c r="E296" s="22"/>
      <c r="F296" s="22"/>
      <c r="G296" s="22"/>
      <c r="H296" s="22"/>
      <c r="I296" s="22"/>
      <c r="J296" s="25"/>
      <c r="K296" s="25"/>
      <c r="L296" s="25"/>
      <c r="M296" s="22"/>
    </row>
    <row r="297" customFormat="false" ht="15" hidden="false" customHeight="true" outlineLevel="0" collapsed="false">
      <c r="A297" s="22" t="n">
        <v>296</v>
      </c>
      <c r="B297" s="25"/>
      <c r="C297" s="22"/>
      <c r="D297" s="22"/>
      <c r="E297" s="22"/>
      <c r="F297" s="22"/>
      <c r="G297" s="22"/>
      <c r="H297" s="22"/>
      <c r="I297" s="22"/>
      <c r="J297" s="25"/>
      <c r="K297" s="25"/>
      <c r="L297" s="25"/>
      <c r="M297" s="22"/>
    </row>
    <row r="298" customFormat="false" ht="15" hidden="false" customHeight="true" outlineLevel="0" collapsed="false">
      <c r="A298" s="22" t="n">
        <v>297</v>
      </c>
      <c r="B298" s="25"/>
      <c r="C298" s="22"/>
      <c r="D298" s="22"/>
      <c r="E298" s="22"/>
      <c r="F298" s="22"/>
      <c r="G298" s="22"/>
      <c r="H298" s="22"/>
      <c r="I298" s="22"/>
      <c r="J298" s="25"/>
      <c r="K298" s="25"/>
      <c r="L298" s="25"/>
      <c r="M298" s="22"/>
    </row>
    <row r="299" customFormat="false" ht="15" hidden="false" customHeight="true" outlineLevel="0" collapsed="false">
      <c r="A299" s="22" t="n">
        <v>298</v>
      </c>
      <c r="B299" s="25"/>
      <c r="C299" s="22"/>
      <c r="D299" s="22"/>
      <c r="E299" s="22"/>
      <c r="F299" s="22"/>
      <c r="G299" s="22"/>
      <c r="H299" s="22"/>
      <c r="I299" s="22"/>
      <c r="J299" s="25"/>
      <c r="K299" s="25"/>
      <c r="L299" s="25"/>
      <c r="M299" s="22"/>
    </row>
    <row r="300" customFormat="false" ht="15" hidden="false" customHeight="true" outlineLevel="0" collapsed="false">
      <c r="A300" s="22" t="n">
        <v>299</v>
      </c>
      <c r="B300" s="25"/>
      <c r="C300" s="22"/>
      <c r="D300" s="22"/>
      <c r="E300" s="22"/>
      <c r="F300" s="22"/>
      <c r="G300" s="22"/>
      <c r="H300" s="22"/>
      <c r="I300" s="22"/>
      <c r="J300" s="25"/>
      <c r="K300" s="25"/>
      <c r="L300" s="25"/>
      <c r="M300" s="22"/>
    </row>
  </sheetData>
  <autoFilter ref="A1:M300"/>
  <dataValidations count="3">
    <dataValidation allowBlank="true" errorStyle="stop" operator="between" showDropDown="false" showErrorMessage="false" showInputMessage="false" sqref="E2:E300" type="list">
      <formula1>"LinkedIn,Rozee,Wuzzuf,Bayt,Naukri Gulf,Indeed,Company site,Referral,Other"</formula1>
      <formula2>0</formula2>
    </dataValidation>
    <dataValidation allowBlank="true" errorStyle="stop" operator="between" showDropDown="false" showErrorMessage="false" showInputMessage="false" sqref="F2:F300" type="list">
      <formula1>"Pakistan,UAE,Saudi,Gulf-other,Remote"</formula1>
      <formula2>0</formula2>
    </dataValidation>
    <dataValidation allowBlank="true" errorStyle="stop" operator="between" showDropDown="false" showErrorMessage="false" showInputMessage="false" sqref="I2:I300" type="list">
      <formula1>"Applied,Followed up,Screening,Interview,Offer,Rejected,No reply,Withdrawn"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9" min="8" style="1" width="13"/>
    <col collapsed="false" customWidth="true" hidden="false" outlineLevel="0" max="10" min="10" style="1" width="18"/>
    <col collapsed="false" customWidth="true" hidden="false" outlineLevel="0" max="11" min="11" style="1" width="38"/>
  </cols>
  <sheetData>
    <row r="1" customFormat="false" ht="31.5" hidden="false" customHeight="true" outlineLevel="0" collapsed="false">
      <c r="A1" s="21" t="s">
        <v>806</v>
      </c>
      <c r="B1" s="21" t="s">
        <v>988</v>
      </c>
      <c r="C1" s="21" t="s">
        <v>793</v>
      </c>
      <c r="D1" s="21" t="s">
        <v>989</v>
      </c>
      <c r="E1" s="21" t="s">
        <v>971</v>
      </c>
      <c r="F1" s="21" t="s">
        <v>990</v>
      </c>
      <c r="G1" s="21" t="s">
        <v>991</v>
      </c>
      <c r="H1" s="21" t="s">
        <v>977</v>
      </c>
      <c r="I1" s="21" t="s">
        <v>978</v>
      </c>
      <c r="J1" s="21" t="s">
        <v>992</v>
      </c>
      <c r="K1" s="21" t="s">
        <v>572</v>
      </c>
    </row>
    <row r="2" customFormat="false" ht="23.25" hidden="false" customHeight="true" outlineLevel="0" collapsed="false">
      <c r="A2" s="22" t="n">
        <v>1</v>
      </c>
      <c r="B2" s="33" t="n">
        <v>46027</v>
      </c>
      <c r="C2" s="34" t="s">
        <v>993</v>
      </c>
      <c r="D2" s="34" t="s">
        <v>994</v>
      </c>
      <c r="E2" s="34" t="s">
        <v>995</v>
      </c>
      <c r="F2" s="34" t="s">
        <v>982</v>
      </c>
      <c r="G2" s="34" t="s">
        <v>827</v>
      </c>
      <c r="H2" s="33" t="n">
        <v>46031</v>
      </c>
      <c r="I2" s="33"/>
      <c r="J2" s="34" t="s">
        <v>996</v>
      </c>
      <c r="K2" s="34" t="s">
        <v>987</v>
      </c>
    </row>
    <row r="3" customFormat="false" ht="15" hidden="false" customHeight="true" outlineLevel="0" collapsed="false">
      <c r="A3" s="22" t="n">
        <v>2</v>
      </c>
      <c r="B3" s="25"/>
      <c r="C3" s="22"/>
      <c r="D3" s="22"/>
      <c r="E3" s="22"/>
      <c r="F3" s="22"/>
      <c r="G3" s="22"/>
      <c r="H3" s="25"/>
      <c r="I3" s="25"/>
      <c r="J3" s="22"/>
      <c r="K3" s="22"/>
    </row>
    <row r="4" customFormat="false" ht="15" hidden="false" customHeight="true" outlineLevel="0" collapsed="false">
      <c r="A4" s="22" t="n">
        <v>3</v>
      </c>
      <c r="B4" s="25"/>
      <c r="C4" s="22"/>
      <c r="D4" s="22"/>
      <c r="E4" s="22"/>
      <c r="F4" s="22"/>
      <c r="G4" s="22"/>
      <c r="H4" s="25"/>
      <c r="I4" s="25"/>
      <c r="J4" s="22"/>
      <c r="K4" s="22"/>
    </row>
    <row r="5" customFormat="false" ht="15" hidden="false" customHeight="true" outlineLevel="0" collapsed="false">
      <c r="A5" s="22" t="n">
        <v>4</v>
      </c>
      <c r="B5" s="25"/>
      <c r="C5" s="22"/>
      <c r="D5" s="22"/>
      <c r="E5" s="22"/>
      <c r="F5" s="22"/>
      <c r="G5" s="22"/>
      <c r="H5" s="25"/>
      <c r="I5" s="25"/>
      <c r="J5" s="22"/>
      <c r="K5" s="22"/>
    </row>
    <row r="6" customFormat="false" ht="15" hidden="false" customHeight="true" outlineLevel="0" collapsed="false">
      <c r="A6" s="22" t="n">
        <v>5</v>
      </c>
      <c r="B6" s="25"/>
      <c r="C6" s="22"/>
      <c r="D6" s="22"/>
      <c r="E6" s="22"/>
      <c r="F6" s="22"/>
      <c r="G6" s="22"/>
      <c r="H6" s="25"/>
      <c r="I6" s="25"/>
      <c r="J6" s="22"/>
      <c r="K6" s="22"/>
    </row>
    <row r="7" customFormat="false" ht="15" hidden="false" customHeight="true" outlineLevel="0" collapsed="false">
      <c r="A7" s="22" t="n">
        <v>6</v>
      </c>
      <c r="B7" s="25"/>
      <c r="C7" s="22"/>
      <c r="D7" s="22"/>
      <c r="E7" s="22"/>
      <c r="F7" s="22"/>
      <c r="G7" s="22"/>
      <c r="H7" s="25"/>
      <c r="I7" s="25"/>
      <c r="J7" s="22"/>
      <c r="K7" s="22"/>
    </row>
    <row r="8" customFormat="false" ht="15" hidden="false" customHeight="true" outlineLevel="0" collapsed="false">
      <c r="A8" s="22" t="n">
        <v>7</v>
      </c>
      <c r="B8" s="25"/>
      <c r="C8" s="22"/>
      <c r="D8" s="22"/>
      <c r="E8" s="22"/>
      <c r="F8" s="22"/>
      <c r="G8" s="22"/>
      <c r="H8" s="25"/>
      <c r="I8" s="25"/>
      <c r="J8" s="22"/>
      <c r="K8" s="22"/>
    </row>
    <row r="9" customFormat="false" ht="15" hidden="false" customHeight="true" outlineLevel="0" collapsed="false">
      <c r="A9" s="22" t="n">
        <v>8</v>
      </c>
      <c r="B9" s="25"/>
      <c r="C9" s="22"/>
      <c r="D9" s="22"/>
      <c r="E9" s="22"/>
      <c r="F9" s="22"/>
      <c r="G9" s="22"/>
      <c r="H9" s="25"/>
      <c r="I9" s="25"/>
      <c r="J9" s="22"/>
      <c r="K9" s="22"/>
    </row>
    <row r="10" customFormat="false" ht="15" hidden="false" customHeight="true" outlineLevel="0" collapsed="false">
      <c r="A10" s="22" t="n">
        <v>9</v>
      </c>
      <c r="B10" s="25"/>
      <c r="C10" s="22"/>
      <c r="D10" s="22"/>
      <c r="E10" s="22"/>
      <c r="F10" s="22"/>
      <c r="G10" s="22"/>
      <c r="H10" s="25"/>
      <c r="I10" s="25"/>
      <c r="J10" s="22"/>
      <c r="K10" s="22"/>
    </row>
    <row r="11" customFormat="false" ht="15" hidden="false" customHeight="true" outlineLevel="0" collapsed="false">
      <c r="A11" s="22" t="n">
        <v>10</v>
      </c>
      <c r="B11" s="25"/>
      <c r="C11" s="22"/>
      <c r="D11" s="22"/>
      <c r="E11" s="22"/>
      <c r="F11" s="22"/>
      <c r="G11" s="22"/>
      <c r="H11" s="25"/>
      <c r="I11" s="25"/>
      <c r="J11" s="22"/>
      <c r="K11" s="22"/>
    </row>
    <row r="12" customFormat="false" ht="15" hidden="false" customHeight="true" outlineLevel="0" collapsed="false">
      <c r="A12" s="22" t="n">
        <v>11</v>
      </c>
      <c r="B12" s="25"/>
      <c r="C12" s="22"/>
      <c r="D12" s="22"/>
      <c r="E12" s="22"/>
      <c r="F12" s="22"/>
      <c r="G12" s="22"/>
      <c r="H12" s="25"/>
      <c r="I12" s="25"/>
      <c r="J12" s="22"/>
      <c r="K12" s="22"/>
    </row>
    <row r="13" customFormat="false" ht="15" hidden="false" customHeight="true" outlineLevel="0" collapsed="false">
      <c r="A13" s="22" t="n">
        <v>12</v>
      </c>
      <c r="B13" s="25"/>
      <c r="C13" s="22"/>
      <c r="D13" s="22"/>
      <c r="E13" s="22"/>
      <c r="F13" s="22"/>
      <c r="G13" s="22"/>
      <c r="H13" s="25"/>
      <c r="I13" s="25"/>
      <c r="J13" s="22"/>
      <c r="K13" s="22"/>
    </row>
    <row r="14" customFormat="false" ht="15" hidden="false" customHeight="true" outlineLevel="0" collapsed="false">
      <c r="A14" s="22" t="n">
        <v>13</v>
      </c>
      <c r="B14" s="25"/>
      <c r="C14" s="22"/>
      <c r="D14" s="22"/>
      <c r="E14" s="22"/>
      <c r="F14" s="22"/>
      <c r="G14" s="22"/>
      <c r="H14" s="25"/>
      <c r="I14" s="25"/>
      <c r="J14" s="22"/>
      <c r="K14" s="22"/>
    </row>
    <row r="15" customFormat="false" ht="15" hidden="false" customHeight="true" outlineLevel="0" collapsed="false">
      <c r="A15" s="22" t="n">
        <v>14</v>
      </c>
      <c r="B15" s="25"/>
      <c r="C15" s="22"/>
      <c r="D15" s="22"/>
      <c r="E15" s="22"/>
      <c r="F15" s="22"/>
      <c r="G15" s="22"/>
      <c r="H15" s="25"/>
      <c r="I15" s="25"/>
      <c r="J15" s="22"/>
      <c r="K15" s="22"/>
    </row>
    <row r="16" customFormat="false" ht="15" hidden="false" customHeight="true" outlineLevel="0" collapsed="false">
      <c r="A16" s="22" t="n">
        <v>15</v>
      </c>
      <c r="B16" s="25"/>
      <c r="C16" s="22"/>
      <c r="D16" s="22"/>
      <c r="E16" s="22"/>
      <c r="F16" s="22"/>
      <c r="G16" s="22"/>
      <c r="H16" s="25"/>
      <c r="I16" s="25"/>
      <c r="J16" s="22"/>
      <c r="K16" s="22"/>
    </row>
    <row r="17" customFormat="false" ht="15" hidden="false" customHeight="true" outlineLevel="0" collapsed="false">
      <c r="A17" s="22" t="n">
        <v>16</v>
      </c>
      <c r="B17" s="25"/>
      <c r="C17" s="22"/>
      <c r="D17" s="22"/>
      <c r="E17" s="22"/>
      <c r="F17" s="22"/>
      <c r="G17" s="22"/>
      <c r="H17" s="25"/>
      <c r="I17" s="25"/>
      <c r="J17" s="22"/>
      <c r="K17" s="22"/>
    </row>
    <row r="18" customFormat="false" ht="15" hidden="false" customHeight="true" outlineLevel="0" collapsed="false">
      <c r="A18" s="22" t="n">
        <v>17</v>
      </c>
      <c r="B18" s="25"/>
      <c r="C18" s="22"/>
      <c r="D18" s="22"/>
      <c r="E18" s="22"/>
      <c r="F18" s="22"/>
      <c r="G18" s="22"/>
      <c r="H18" s="25"/>
      <c r="I18" s="25"/>
      <c r="J18" s="22"/>
      <c r="K18" s="22"/>
    </row>
    <row r="19" customFormat="false" ht="15" hidden="false" customHeight="true" outlineLevel="0" collapsed="false">
      <c r="A19" s="22" t="n">
        <v>18</v>
      </c>
      <c r="B19" s="25"/>
      <c r="C19" s="22"/>
      <c r="D19" s="22"/>
      <c r="E19" s="22"/>
      <c r="F19" s="22"/>
      <c r="G19" s="22"/>
      <c r="H19" s="25"/>
      <c r="I19" s="25"/>
      <c r="J19" s="22"/>
      <c r="K19" s="22"/>
    </row>
    <row r="20" customFormat="false" ht="15" hidden="false" customHeight="true" outlineLevel="0" collapsed="false">
      <c r="A20" s="22" t="n">
        <v>19</v>
      </c>
      <c r="B20" s="25"/>
      <c r="C20" s="22"/>
      <c r="D20" s="22"/>
      <c r="E20" s="22"/>
      <c r="F20" s="22"/>
      <c r="G20" s="22"/>
      <c r="H20" s="25"/>
      <c r="I20" s="25"/>
      <c r="J20" s="22"/>
      <c r="K20" s="22"/>
    </row>
    <row r="21" customFormat="false" ht="15" hidden="false" customHeight="true" outlineLevel="0" collapsed="false">
      <c r="A21" s="22" t="n">
        <v>20</v>
      </c>
      <c r="B21" s="25"/>
      <c r="C21" s="22"/>
      <c r="D21" s="22"/>
      <c r="E21" s="22"/>
      <c r="F21" s="22"/>
      <c r="G21" s="22"/>
      <c r="H21" s="25"/>
      <c r="I21" s="25"/>
      <c r="J21" s="22"/>
      <c r="K21" s="22"/>
    </row>
    <row r="22" customFormat="false" ht="15" hidden="false" customHeight="true" outlineLevel="0" collapsed="false">
      <c r="A22" s="22" t="n">
        <v>21</v>
      </c>
      <c r="B22" s="25"/>
      <c r="C22" s="22"/>
      <c r="D22" s="22"/>
      <c r="E22" s="22"/>
      <c r="F22" s="22"/>
      <c r="G22" s="22"/>
      <c r="H22" s="25"/>
      <c r="I22" s="25"/>
      <c r="J22" s="22"/>
      <c r="K22" s="22"/>
    </row>
    <row r="23" customFormat="false" ht="15" hidden="false" customHeight="true" outlineLevel="0" collapsed="false">
      <c r="A23" s="22" t="n">
        <v>22</v>
      </c>
      <c r="B23" s="25"/>
      <c r="C23" s="22"/>
      <c r="D23" s="22"/>
      <c r="E23" s="22"/>
      <c r="F23" s="22"/>
      <c r="G23" s="22"/>
      <c r="H23" s="25"/>
      <c r="I23" s="25"/>
      <c r="J23" s="22"/>
      <c r="K23" s="22"/>
    </row>
    <row r="24" customFormat="false" ht="15" hidden="false" customHeight="true" outlineLevel="0" collapsed="false">
      <c r="A24" s="22" t="n">
        <v>23</v>
      </c>
      <c r="B24" s="25"/>
      <c r="C24" s="22"/>
      <c r="D24" s="22"/>
      <c r="E24" s="22"/>
      <c r="F24" s="22"/>
      <c r="G24" s="22"/>
      <c r="H24" s="25"/>
      <c r="I24" s="25"/>
      <c r="J24" s="22"/>
      <c r="K24" s="22"/>
    </row>
    <row r="25" customFormat="false" ht="15" hidden="false" customHeight="true" outlineLevel="0" collapsed="false">
      <c r="A25" s="22" t="n">
        <v>24</v>
      </c>
      <c r="B25" s="25"/>
      <c r="C25" s="22"/>
      <c r="D25" s="22"/>
      <c r="E25" s="22"/>
      <c r="F25" s="22"/>
      <c r="G25" s="22"/>
      <c r="H25" s="25"/>
      <c r="I25" s="25"/>
      <c r="J25" s="22"/>
      <c r="K25" s="22"/>
    </row>
    <row r="26" customFormat="false" ht="15" hidden="false" customHeight="true" outlineLevel="0" collapsed="false">
      <c r="A26" s="22" t="n">
        <v>25</v>
      </c>
      <c r="B26" s="25"/>
      <c r="C26" s="22"/>
      <c r="D26" s="22"/>
      <c r="E26" s="22"/>
      <c r="F26" s="22"/>
      <c r="G26" s="22"/>
      <c r="H26" s="25"/>
      <c r="I26" s="25"/>
      <c r="J26" s="22"/>
      <c r="K26" s="22"/>
    </row>
    <row r="27" customFormat="false" ht="15" hidden="false" customHeight="true" outlineLevel="0" collapsed="false">
      <c r="A27" s="22" t="n">
        <v>26</v>
      </c>
      <c r="B27" s="25"/>
      <c r="C27" s="22"/>
      <c r="D27" s="22"/>
      <c r="E27" s="22"/>
      <c r="F27" s="22"/>
      <c r="G27" s="22"/>
      <c r="H27" s="25"/>
      <c r="I27" s="25"/>
      <c r="J27" s="22"/>
      <c r="K27" s="22"/>
    </row>
    <row r="28" customFormat="false" ht="15" hidden="false" customHeight="true" outlineLevel="0" collapsed="false">
      <c r="A28" s="22" t="n">
        <v>27</v>
      </c>
      <c r="B28" s="25"/>
      <c r="C28" s="22"/>
      <c r="D28" s="22"/>
      <c r="E28" s="22"/>
      <c r="F28" s="22"/>
      <c r="G28" s="22"/>
      <c r="H28" s="25"/>
      <c r="I28" s="25"/>
      <c r="J28" s="22"/>
      <c r="K28" s="22"/>
    </row>
    <row r="29" customFormat="false" ht="15" hidden="false" customHeight="true" outlineLevel="0" collapsed="false">
      <c r="A29" s="22" t="n">
        <v>28</v>
      </c>
      <c r="B29" s="25"/>
      <c r="C29" s="22"/>
      <c r="D29" s="22"/>
      <c r="E29" s="22"/>
      <c r="F29" s="22"/>
      <c r="G29" s="22"/>
      <c r="H29" s="25"/>
      <c r="I29" s="25"/>
      <c r="J29" s="22"/>
      <c r="K29" s="22"/>
    </row>
    <row r="30" customFormat="false" ht="15" hidden="false" customHeight="true" outlineLevel="0" collapsed="false">
      <c r="A30" s="22" t="n">
        <v>29</v>
      </c>
      <c r="B30" s="25"/>
      <c r="C30" s="22"/>
      <c r="D30" s="22"/>
      <c r="E30" s="22"/>
      <c r="F30" s="22"/>
      <c r="G30" s="22"/>
      <c r="H30" s="25"/>
      <c r="I30" s="25"/>
      <c r="J30" s="22"/>
      <c r="K30" s="22"/>
    </row>
    <row r="31" customFormat="false" ht="15" hidden="false" customHeight="true" outlineLevel="0" collapsed="false">
      <c r="A31" s="22" t="n">
        <v>30</v>
      </c>
      <c r="B31" s="25"/>
      <c r="C31" s="22"/>
      <c r="D31" s="22"/>
      <c r="E31" s="22"/>
      <c r="F31" s="22"/>
      <c r="G31" s="22"/>
      <c r="H31" s="25"/>
      <c r="I31" s="25"/>
      <c r="J31" s="22"/>
      <c r="K31" s="22"/>
    </row>
    <row r="32" customFormat="false" ht="15" hidden="false" customHeight="true" outlineLevel="0" collapsed="false">
      <c r="A32" s="22" t="n">
        <v>31</v>
      </c>
      <c r="B32" s="25"/>
      <c r="C32" s="22"/>
      <c r="D32" s="22"/>
      <c r="E32" s="22"/>
      <c r="F32" s="22"/>
      <c r="G32" s="22"/>
      <c r="H32" s="25"/>
      <c r="I32" s="25"/>
      <c r="J32" s="22"/>
      <c r="K32" s="22"/>
    </row>
    <row r="33" customFormat="false" ht="15" hidden="false" customHeight="true" outlineLevel="0" collapsed="false">
      <c r="A33" s="22" t="n">
        <v>32</v>
      </c>
      <c r="B33" s="25"/>
      <c r="C33" s="22"/>
      <c r="D33" s="22"/>
      <c r="E33" s="22"/>
      <c r="F33" s="22"/>
      <c r="G33" s="22"/>
      <c r="H33" s="25"/>
      <c r="I33" s="25"/>
      <c r="J33" s="22"/>
      <c r="K33" s="22"/>
    </row>
    <row r="34" customFormat="false" ht="15" hidden="false" customHeight="true" outlineLevel="0" collapsed="false">
      <c r="A34" s="22" t="n">
        <v>33</v>
      </c>
      <c r="B34" s="25"/>
      <c r="C34" s="22"/>
      <c r="D34" s="22"/>
      <c r="E34" s="22"/>
      <c r="F34" s="22"/>
      <c r="G34" s="22"/>
      <c r="H34" s="25"/>
      <c r="I34" s="25"/>
      <c r="J34" s="22"/>
      <c r="K34" s="22"/>
    </row>
    <row r="35" customFormat="false" ht="15" hidden="false" customHeight="true" outlineLevel="0" collapsed="false">
      <c r="A35" s="22" t="n">
        <v>34</v>
      </c>
      <c r="B35" s="25"/>
      <c r="C35" s="22"/>
      <c r="D35" s="22"/>
      <c r="E35" s="22"/>
      <c r="F35" s="22"/>
      <c r="G35" s="22"/>
      <c r="H35" s="25"/>
      <c r="I35" s="25"/>
      <c r="J35" s="22"/>
      <c r="K35" s="22"/>
    </row>
    <row r="36" customFormat="false" ht="15" hidden="false" customHeight="true" outlineLevel="0" collapsed="false">
      <c r="A36" s="22" t="n">
        <v>35</v>
      </c>
      <c r="B36" s="25"/>
      <c r="C36" s="22"/>
      <c r="D36" s="22"/>
      <c r="E36" s="22"/>
      <c r="F36" s="22"/>
      <c r="G36" s="22"/>
      <c r="H36" s="25"/>
      <c r="I36" s="25"/>
      <c r="J36" s="22"/>
      <c r="K36" s="22"/>
    </row>
    <row r="37" customFormat="false" ht="15" hidden="false" customHeight="true" outlineLevel="0" collapsed="false">
      <c r="A37" s="22" t="n">
        <v>36</v>
      </c>
      <c r="B37" s="25"/>
      <c r="C37" s="22"/>
      <c r="D37" s="22"/>
      <c r="E37" s="22"/>
      <c r="F37" s="22"/>
      <c r="G37" s="22"/>
      <c r="H37" s="25"/>
      <c r="I37" s="25"/>
      <c r="J37" s="22"/>
      <c r="K37" s="22"/>
    </row>
    <row r="38" customFormat="false" ht="15" hidden="false" customHeight="true" outlineLevel="0" collapsed="false">
      <c r="A38" s="22" t="n">
        <v>37</v>
      </c>
      <c r="B38" s="25"/>
      <c r="C38" s="22"/>
      <c r="D38" s="22"/>
      <c r="E38" s="22"/>
      <c r="F38" s="22"/>
      <c r="G38" s="22"/>
      <c r="H38" s="25"/>
      <c r="I38" s="25"/>
      <c r="J38" s="22"/>
      <c r="K38" s="22"/>
    </row>
    <row r="39" customFormat="false" ht="15" hidden="false" customHeight="true" outlineLevel="0" collapsed="false">
      <c r="A39" s="22" t="n">
        <v>38</v>
      </c>
      <c r="B39" s="25"/>
      <c r="C39" s="22"/>
      <c r="D39" s="22"/>
      <c r="E39" s="22"/>
      <c r="F39" s="22"/>
      <c r="G39" s="22"/>
      <c r="H39" s="25"/>
      <c r="I39" s="25"/>
      <c r="J39" s="22"/>
      <c r="K39" s="22"/>
    </row>
    <row r="40" customFormat="false" ht="15" hidden="false" customHeight="true" outlineLevel="0" collapsed="false">
      <c r="A40" s="22" t="n">
        <v>39</v>
      </c>
      <c r="B40" s="25"/>
      <c r="C40" s="22"/>
      <c r="D40" s="22"/>
      <c r="E40" s="22"/>
      <c r="F40" s="22"/>
      <c r="G40" s="22"/>
      <c r="H40" s="25"/>
      <c r="I40" s="25"/>
      <c r="J40" s="22"/>
      <c r="K40" s="22"/>
    </row>
    <row r="41" customFormat="false" ht="15" hidden="false" customHeight="true" outlineLevel="0" collapsed="false">
      <c r="A41" s="22" t="n">
        <v>40</v>
      </c>
      <c r="B41" s="25"/>
      <c r="C41" s="22"/>
      <c r="D41" s="22"/>
      <c r="E41" s="22"/>
      <c r="F41" s="22"/>
      <c r="G41" s="22"/>
      <c r="H41" s="25"/>
      <c r="I41" s="25"/>
      <c r="J41" s="22"/>
      <c r="K41" s="22"/>
    </row>
    <row r="42" customFormat="false" ht="15" hidden="false" customHeight="true" outlineLevel="0" collapsed="false">
      <c r="A42" s="22" t="n">
        <v>41</v>
      </c>
      <c r="B42" s="25"/>
      <c r="C42" s="22"/>
      <c r="D42" s="22"/>
      <c r="E42" s="22"/>
      <c r="F42" s="22"/>
      <c r="G42" s="22"/>
      <c r="H42" s="25"/>
      <c r="I42" s="25"/>
      <c r="J42" s="22"/>
      <c r="K42" s="22"/>
    </row>
    <row r="43" customFormat="false" ht="15" hidden="false" customHeight="true" outlineLevel="0" collapsed="false">
      <c r="A43" s="22" t="n">
        <v>42</v>
      </c>
      <c r="B43" s="25"/>
      <c r="C43" s="22"/>
      <c r="D43" s="22"/>
      <c r="E43" s="22"/>
      <c r="F43" s="22"/>
      <c r="G43" s="22"/>
      <c r="H43" s="25"/>
      <c r="I43" s="25"/>
      <c r="J43" s="22"/>
      <c r="K43" s="22"/>
    </row>
    <row r="44" customFormat="false" ht="15" hidden="false" customHeight="true" outlineLevel="0" collapsed="false">
      <c r="A44" s="22" t="n">
        <v>43</v>
      </c>
      <c r="B44" s="25"/>
      <c r="C44" s="22"/>
      <c r="D44" s="22"/>
      <c r="E44" s="22"/>
      <c r="F44" s="22"/>
      <c r="G44" s="22"/>
      <c r="H44" s="25"/>
      <c r="I44" s="25"/>
      <c r="J44" s="22"/>
      <c r="K44" s="22"/>
    </row>
    <row r="45" customFormat="false" ht="15" hidden="false" customHeight="true" outlineLevel="0" collapsed="false">
      <c r="A45" s="22" t="n">
        <v>44</v>
      </c>
      <c r="B45" s="25"/>
      <c r="C45" s="22"/>
      <c r="D45" s="22"/>
      <c r="E45" s="22"/>
      <c r="F45" s="22"/>
      <c r="G45" s="22"/>
      <c r="H45" s="25"/>
      <c r="I45" s="25"/>
      <c r="J45" s="22"/>
      <c r="K45" s="22"/>
    </row>
    <row r="46" customFormat="false" ht="15" hidden="false" customHeight="true" outlineLevel="0" collapsed="false">
      <c r="A46" s="22" t="n">
        <v>45</v>
      </c>
      <c r="B46" s="25"/>
      <c r="C46" s="22"/>
      <c r="D46" s="22"/>
      <c r="E46" s="22"/>
      <c r="F46" s="22"/>
      <c r="G46" s="22"/>
      <c r="H46" s="25"/>
      <c r="I46" s="25"/>
      <c r="J46" s="22"/>
      <c r="K46" s="22"/>
    </row>
    <row r="47" customFormat="false" ht="15" hidden="false" customHeight="true" outlineLevel="0" collapsed="false">
      <c r="A47" s="22" t="n">
        <v>46</v>
      </c>
      <c r="B47" s="25"/>
      <c r="C47" s="22"/>
      <c r="D47" s="22"/>
      <c r="E47" s="22"/>
      <c r="F47" s="22"/>
      <c r="G47" s="22"/>
      <c r="H47" s="25"/>
      <c r="I47" s="25"/>
      <c r="J47" s="22"/>
      <c r="K47" s="22"/>
    </row>
    <row r="48" customFormat="false" ht="15" hidden="false" customHeight="true" outlineLevel="0" collapsed="false">
      <c r="A48" s="22" t="n">
        <v>47</v>
      </c>
      <c r="B48" s="25"/>
      <c r="C48" s="22"/>
      <c r="D48" s="22"/>
      <c r="E48" s="22"/>
      <c r="F48" s="22"/>
      <c r="G48" s="22"/>
      <c r="H48" s="25"/>
      <c r="I48" s="25"/>
      <c r="J48" s="22"/>
      <c r="K48" s="22"/>
    </row>
    <row r="49" customFormat="false" ht="15" hidden="false" customHeight="true" outlineLevel="0" collapsed="false">
      <c r="A49" s="22" t="n">
        <v>48</v>
      </c>
      <c r="B49" s="25"/>
      <c r="C49" s="22"/>
      <c r="D49" s="22"/>
      <c r="E49" s="22"/>
      <c r="F49" s="22"/>
      <c r="G49" s="22"/>
      <c r="H49" s="25"/>
      <c r="I49" s="25"/>
      <c r="J49" s="22"/>
      <c r="K49" s="22"/>
    </row>
    <row r="50" customFormat="false" ht="15" hidden="false" customHeight="true" outlineLevel="0" collapsed="false">
      <c r="A50" s="22" t="n">
        <v>49</v>
      </c>
      <c r="B50" s="25"/>
      <c r="C50" s="22"/>
      <c r="D50" s="22"/>
      <c r="E50" s="22"/>
      <c r="F50" s="22"/>
      <c r="G50" s="22"/>
      <c r="H50" s="25"/>
      <c r="I50" s="25"/>
      <c r="J50" s="22"/>
      <c r="K50" s="22"/>
    </row>
    <row r="51" customFormat="false" ht="15" hidden="false" customHeight="true" outlineLevel="0" collapsed="false">
      <c r="A51" s="22" t="n">
        <v>50</v>
      </c>
      <c r="B51" s="25"/>
      <c r="C51" s="22"/>
      <c r="D51" s="22"/>
      <c r="E51" s="22"/>
      <c r="F51" s="22"/>
      <c r="G51" s="22"/>
      <c r="H51" s="25"/>
      <c r="I51" s="25"/>
      <c r="J51" s="22"/>
      <c r="K51" s="22"/>
    </row>
    <row r="52" customFormat="false" ht="15" hidden="false" customHeight="true" outlineLevel="0" collapsed="false">
      <c r="A52" s="22" t="n">
        <v>51</v>
      </c>
      <c r="B52" s="25"/>
      <c r="C52" s="22"/>
      <c r="D52" s="22"/>
      <c r="E52" s="22"/>
      <c r="F52" s="22"/>
      <c r="G52" s="22"/>
      <c r="H52" s="25"/>
      <c r="I52" s="25"/>
      <c r="J52" s="22"/>
      <c r="K52" s="22"/>
    </row>
    <row r="53" customFormat="false" ht="15" hidden="false" customHeight="true" outlineLevel="0" collapsed="false">
      <c r="A53" s="22" t="n">
        <v>52</v>
      </c>
      <c r="B53" s="25"/>
      <c r="C53" s="22"/>
      <c r="D53" s="22"/>
      <c r="E53" s="22"/>
      <c r="F53" s="22"/>
      <c r="G53" s="22"/>
      <c r="H53" s="25"/>
      <c r="I53" s="25"/>
      <c r="J53" s="22"/>
      <c r="K53" s="22"/>
    </row>
    <row r="54" customFormat="false" ht="15" hidden="false" customHeight="true" outlineLevel="0" collapsed="false">
      <c r="A54" s="22" t="n">
        <v>53</v>
      </c>
      <c r="B54" s="25"/>
      <c r="C54" s="22"/>
      <c r="D54" s="22"/>
      <c r="E54" s="22"/>
      <c r="F54" s="22"/>
      <c r="G54" s="22"/>
      <c r="H54" s="25"/>
      <c r="I54" s="25"/>
      <c r="J54" s="22"/>
      <c r="K54" s="22"/>
    </row>
    <row r="55" customFormat="false" ht="15" hidden="false" customHeight="true" outlineLevel="0" collapsed="false">
      <c r="A55" s="22" t="n">
        <v>54</v>
      </c>
      <c r="B55" s="25"/>
      <c r="C55" s="22"/>
      <c r="D55" s="22"/>
      <c r="E55" s="22"/>
      <c r="F55" s="22"/>
      <c r="G55" s="22"/>
      <c r="H55" s="25"/>
      <c r="I55" s="25"/>
      <c r="J55" s="22"/>
      <c r="K55" s="22"/>
    </row>
    <row r="56" customFormat="false" ht="15" hidden="false" customHeight="true" outlineLevel="0" collapsed="false">
      <c r="A56" s="22" t="n">
        <v>55</v>
      </c>
      <c r="B56" s="25"/>
      <c r="C56" s="22"/>
      <c r="D56" s="22"/>
      <c r="E56" s="22"/>
      <c r="F56" s="22"/>
      <c r="G56" s="22"/>
      <c r="H56" s="25"/>
      <c r="I56" s="25"/>
      <c r="J56" s="22"/>
      <c r="K56" s="22"/>
    </row>
    <row r="57" customFormat="false" ht="15" hidden="false" customHeight="true" outlineLevel="0" collapsed="false">
      <c r="A57" s="22" t="n">
        <v>56</v>
      </c>
      <c r="B57" s="25"/>
      <c r="C57" s="22"/>
      <c r="D57" s="22"/>
      <c r="E57" s="22"/>
      <c r="F57" s="22"/>
      <c r="G57" s="22"/>
      <c r="H57" s="25"/>
      <c r="I57" s="25"/>
      <c r="J57" s="22"/>
      <c r="K57" s="22"/>
    </row>
    <row r="58" customFormat="false" ht="15" hidden="false" customHeight="true" outlineLevel="0" collapsed="false">
      <c r="A58" s="22" t="n">
        <v>57</v>
      </c>
      <c r="B58" s="25"/>
      <c r="C58" s="22"/>
      <c r="D58" s="22"/>
      <c r="E58" s="22"/>
      <c r="F58" s="22"/>
      <c r="G58" s="22"/>
      <c r="H58" s="25"/>
      <c r="I58" s="25"/>
      <c r="J58" s="22"/>
      <c r="K58" s="22"/>
    </row>
    <row r="59" customFormat="false" ht="15" hidden="false" customHeight="true" outlineLevel="0" collapsed="false">
      <c r="A59" s="22" t="n">
        <v>58</v>
      </c>
      <c r="B59" s="25"/>
      <c r="C59" s="22"/>
      <c r="D59" s="22"/>
      <c r="E59" s="22"/>
      <c r="F59" s="22"/>
      <c r="G59" s="22"/>
      <c r="H59" s="25"/>
      <c r="I59" s="25"/>
      <c r="J59" s="22"/>
      <c r="K59" s="22"/>
    </row>
    <row r="60" customFormat="false" ht="15" hidden="false" customHeight="true" outlineLevel="0" collapsed="false">
      <c r="A60" s="22" t="n">
        <v>59</v>
      </c>
      <c r="B60" s="25"/>
      <c r="C60" s="22"/>
      <c r="D60" s="22"/>
      <c r="E60" s="22"/>
      <c r="F60" s="22"/>
      <c r="G60" s="22"/>
      <c r="H60" s="25"/>
      <c r="I60" s="25"/>
      <c r="J60" s="22"/>
      <c r="K60" s="22"/>
    </row>
    <row r="61" customFormat="false" ht="15" hidden="false" customHeight="true" outlineLevel="0" collapsed="false">
      <c r="A61" s="22" t="n">
        <v>60</v>
      </c>
      <c r="B61" s="25"/>
      <c r="C61" s="22"/>
      <c r="D61" s="22"/>
      <c r="E61" s="22"/>
      <c r="F61" s="22"/>
      <c r="G61" s="22"/>
      <c r="H61" s="25"/>
      <c r="I61" s="25"/>
      <c r="J61" s="22"/>
      <c r="K61" s="22"/>
    </row>
    <row r="62" customFormat="false" ht="15" hidden="false" customHeight="true" outlineLevel="0" collapsed="false">
      <c r="A62" s="22" t="n">
        <v>61</v>
      </c>
      <c r="B62" s="25"/>
      <c r="C62" s="22"/>
      <c r="D62" s="22"/>
      <c r="E62" s="22"/>
      <c r="F62" s="22"/>
      <c r="G62" s="22"/>
      <c r="H62" s="25"/>
      <c r="I62" s="25"/>
      <c r="J62" s="22"/>
      <c r="K62" s="22"/>
    </row>
    <row r="63" customFormat="false" ht="15" hidden="false" customHeight="true" outlineLevel="0" collapsed="false">
      <c r="A63" s="22" t="n">
        <v>62</v>
      </c>
      <c r="B63" s="25"/>
      <c r="C63" s="22"/>
      <c r="D63" s="22"/>
      <c r="E63" s="22"/>
      <c r="F63" s="22"/>
      <c r="G63" s="22"/>
      <c r="H63" s="25"/>
      <c r="I63" s="25"/>
      <c r="J63" s="22"/>
      <c r="K63" s="22"/>
    </row>
    <row r="64" customFormat="false" ht="15" hidden="false" customHeight="true" outlineLevel="0" collapsed="false">
      <c r="A64" s="22" t="n">
        <v>63</v>
      </c>
      <c r="B64" s="25"/>
      <c r="C64" s="22"/>
      <c r="D64" s="22"/>
      <c r="E64" s="22"/>
      <c r="F64" s="22"/>
      <c r="G64" s="22"/>
      <c r="H64" s="25"/>
      <c r="I64" s="25"/>
      <c r="J64" s="22"/>
      <c r="K64" s="22"/>
    </row>
    <row r="65" customFormat="false" ht="15" hidden="false" customHeight="true" outlineLevel="0" collapsed="false">
      <c r="A65" s="22" t="n">
        <v>64</v>
      </c>
      <c r="B65" s="25"/>
      <c r="C65" s="22"/>
      <c r="D65" s="22"/>
      <c r="E65" s="22"/>
      <c r="F65" s="22"/>
      <c r="G65" s="22"/>
      <c r="H65" s="25"/>
      <c r="I65" s="25"/>
      <c r="J65" s="22"/>
      <c r="K65" s="22"/>
    </row>
    <row r="66" customFormat="false" ht="15" hidden="false" customHeight="true" outlineLevel="0" collapsed="false">
      <c r="A66" s="22" t="n">
        <v>65</v>
      </c>
      <c r="B66" s="25"/>
      <c r="C66" s="22"/>
      <c r="D66" s="22"/>
      <c r="E66" s="22"/>
      <c r="F66" s="22"/>
      <c r="G66" s="22"/>
      <c r="H66" s="25"/>
      <c r="I66" s="25"/>
      <c r="J66" s="22"/>
      <c r="K66" s="22"/>
    </row>
    <row r="67" customFormat="false" ht="15" hidden="false" customHeight="true" outlineLevel="0" collapsed="false">
      <c r="A67" s="22" t="n">
        <v>66</v>
      </c>
      <c r="B67" s="25"/>
      <c r="C67" s="22"/>
      <c r="D67" s="22"/>
      <c r="E67" s="22"/>
      <c r="F67" s="22"/>
      <c r="G67" s="22"/>
      <c r="H67" s="25"/>
      <c r="I67" s="25"/>
      <c r="J67" s="22"/>
      <c r="K67" s="22"/>
    </row>
    <row r="68" customFormat="false" ht="15" hidden="false" customHeight="true" outlineLevel="0" collapsed="false">
      <c r="A68" s="22" t="n">
        <v>67</v>
      </c>
      <c r="B68" s="25"/>
      <c r="C68" s="22"/>
      <c r="D68" s="22"/>
      <c r="E68" s="22"/>
      <c r="F68" s="22"/>
      <c r="G68" s="22"/>
      <c r="H68" s="25"/>
      <c r="I68" s="25"/>
      <c r="J68" s="22"/>
      <c r="K68" s="22"/>
    </row>
    <row r="69" customFormat="false" ht="15" hidden="false" customHeight="true" outlineLevel="0" collapsed="false">
      <c r="A69" s="22" t="n">
        <v>68</v>
      </c>
      <c r="B69" s="25"/>
      <c r="C69" s="22"/>
      <c r="D69" s="22"/>
      <c r="E69" s="22"/>
      <c r="F69" s="22"/>
      <c r="G69" s="22"/>
      <c r="H69" s="25"/>
      <c r="I69" s="25"/>
      <c r="J69" s="22"/>
      <c r="K69" s="22"/>
    </row>
    <row r="70" customFormat="false" ht="15" hidden="false" customHeight="true" outlineLevel="0" collapsed="false">
      <c r="A70" s="22" t="n">
        <v>69</v>
      </c>
      <c r="B70" s="25"/>
      <c r="C70" s="22"/>
      <c r="D70" s="22"/>
      <c r="E70" s="22"/>
      <c r="F70" s="22"/>
      <c r="G70" s="22"/>
      <c r="H70" s="25"/>
      <c r="I70" s="25"/>
      <c r="J70" s="22"/>
      <c r="K70" s="22"/>
    </row>
    <row r="71" customFormat="false" ht="15" hidden="false" customHeight="true" outlineLevel="0" collapsed="false">
      <c r="A71" s="22" t="n">
        <v>70</v>
      </c>
      <c r="B71" s="25"/>
      <c r="C71" s="22"/>
      <c r="D71" s="22"/>
      <c r="E71" s="22"/>
      <c r="F71" s="22"/>
      <c r="G71" s="22"/>
      <c r="H71" s="25"/>
      <c r="I71" s="25"/>
      <c r="J71" s="22"/>
      <c r="K71" s="22"/>
    </row>
    <row r="72" customFormat="false" ht="15" hidden="false" customHeight="true" outlineLevel="0" collapsed="false">
      <c r="A72" s="22" t="n">
        <v>71</v>
      </c>
      <c r="B72" s="25"/>
      <c r="C72" s="22"/>
      <c r="D72" s="22"/>
      <c r="E72" s="22"/>
      <c r="F72" s="22"/>
      <c r="G72" s="22"/>
      <c r="H72" s="25"/>
      <c r="I72" s="25"/>
      <c r="J72" s="22"/>
      <c r="K72" s="22"/>
    </row>
    <row r="73" customFormat="false" ht="15" hidden="false" customHeight="true" outlineLevel="0" collapsed="false">
      <c r="A73" s="22" t="n">
        <v>72</v>
      </c>
      <c r="B73" s="25"/>
      <c r="C73" s="22"/>
      <c r="D73" s="22"/>
      <c r="E73" s="22"/>
      <c r="F73" s="22"/>
      <c r="G73" s="22"/>
      <c r="H73" s="25"/>
      <c r="I73" s="25"/>
      <c r="J73" s="22"/>
      <c r="K73" s="22"/>
    </row>
    <row r="74" customFormat="false" ht="15" hidden="false" customHeight="true" outlineLevel="0" collapsed="false">
      <c r="A74" s="22" t="n">
        <v>73</v>
      </c>
      <c r="B74" s="25"/>
      <c r="C74" s="22"/>
      <c r="D74" s="22"/>
      <c r="E74" s="22"/>
      <c r="F74" s="22"/>
      <c r="G74" s="22"/>
      <c r="H74" s="25"/>
      <c r="I74" s="25"/>
      <c r="J74" s="22"/>
      <c r="K74" s="22"/>
    </row>
    <row r="75" customFormat="false" ht="15" hidden="false" customHeight="true" outlineLevel="0" collapsed="false">
      <c r="A75" s="22" t="n">
        <v>74</v>
      </c>
      <c r="B75" s="25"/>
      <c r="C75" s="22"/>
      <c r="D75" s="22"/>
      <c r="E75" s="22"/>
      <c r="F75" s="22"/>
      <c r="G75" s="22"/>
      <c r="H75" s="25"/>
      <c r="I75" s="25"/>
      <c r="J75" s="22"/>
      <c r="K75" s="22"/>
    </row>
    <row r="76" customFormat="false" ht="15" hidden="false" customHeight="true" outlineLevel="0" collapsed="false">
      <c r="A76" s="22" t="n">
        <v>75</v>
      </c>
      <c r="B76" s="25"/>
      <c r="C76" s="22"/>
      <c r="D76" s="22"/>
      <c r="E76" s="22"/>
      <c r="F76" s="22"/>
      <c r="G76" s="22"/>
      <c r="H76" s="25"/>
      <c r="I76" s="25"/>
      <c r="J76" s="22"/>
      <c r="K76" s="22"/>
    </row>
    <row r="77" customFormat="false" ht="15" hidden="false" customHeight="true" outlineLevel="0" collapsed="false">
      <c r="A77" s="22" t="n">
        <v>76</v>
      </c>
      <c r="B77" s="25"/>
      <c r="C77" s="22"/>
      <c r="D77" s="22"/>
      <c r="E77" s="22"/>
      <c r="F77" s="22"/>
      <c r="G77" s="22"/>
      <c r="H77" s="25"/>
      <c r="I77" s="25"/>
      <c r="J77" s="22"/>
      <c r="K77" s="22"/>
    </row>
    <row r="78" customFormat="false" ht="15" hidden="false" customHeight="true" outlineLevel="0" collapsed="false">
      <c r="A78" s="22" t="n">
        <v>77</v>
      </c>
      <c r="B78" s="25"/>
      <c r="C78" s="22"/>
      <c r="D78" s="22"/>
      <c r="E78" s="22"/>
      <c r="F78" s="22"/>
      <c r="G78" s="22"/>
      <c r="H78" s="25"/>
      <c r="I78" s="25"/>
      <c r="J78" s="22"/>
      <c r="K78" s="22"/>
    </row>
    <row r="79" customFormat="false" ht="15" hidden="false" customHeight="true" outlineLevel="0" collapsed="false">
      <c r="A79" s="22" t="n">
        <v>78</v>
      </c>
      <c r="B79" s="25"/>
      <c r="C79" s="22"/>
      <c r="D79" s="22"/>
      <c r="E79" s="22"/>
      <c r="F79" s="22"/>
      <c r="G79" s="22"/>
      <c r="H79" s="25"/>
      <c r="I79" s="25"/>
      <c r="J79" s="22"/>
      <c r="K79" s="22"/>
    </row>
    <row r="80" customFormat="false" ht="15" hidden="false" customHeight="true" outlineLevel="0" collapsed="false">
      <c r="A80" s="22" t="n">
        <v>79</v>
      </c>
      <c r="B80" s="25"/>
      <c r="C80" s="22"/>
      <c r="D80" s="22"/>
      <c r="E80" s="22"/>
      <c r="F80" s="22"/>
      <c r="G80" s="22"/>
      <c r="H80" s="25"/>
      <c r="I80" s="25"/>
      <c r="J80" s="22"/>
      <c r="K80" s="22"/>
    </row>
    <row r="81" customFormat="false" ht="15" hidden="false" customHeight="true" outlineLevel="0" collapsed="false">
      <c r="A81" s="22" t="n">
        <v>80</v>
      </c>
      <c r="B81" s="25"/>
      <c r="C81" s="22"/>
      <c r="D81" s="22"/>
      <c r="E81" s="22"/>
      <c r="F81" s="22"/>
      <c r="G81" s="22"/>
      <c r="H81" s="25"/>
      <c r="I81" s="25"/>
      <c r="J81" s="22"/>
      <c r="K81" s="22"/>
    </row>
    <row r="82" customFormat="false" ht="15" hidden="false" customHeight="true" outlineLevel="0" collapsed="false">
      <c r="A82" s="22" t="n">
        <v>81</v>
      </c>
      <c r="B82" s="25"/>
      <c r="C82" s="22"/>
      <c r="D82" s="22"/>
      <c r="E82" s="22"/>
      <c r="F82" s="22"/>
      <c r="G82" s="22"/>
      <c r="H82" s="25"/>
      <c r="I82" s="25"/>
      <c r="J82" s="22"/>
      <c r="K82" s="22"/>
    </row>
    <row r="83" customFormat="false" ht="15" hidden="false" customHeight="true" outlineLevel="0" collapsed="false">
      <c r="A83" s="22" t="n">
        <v>82</v>
      </c>
      <c r="B83" s="25"/>
      <c r="C83" s="22"/>
      <c r="D83" s="22"/>
      <c r="E83" s="22"/>
      <c r="F83" s="22"/>
      <c r="G83" s="22"/>
      <c r="H83" s="25"/>
      <c r="I83" s="25"/>
      <c r="J83" s="22"/>
      <c r="K83" s="22"/>
    </row>
    <row r="84" customFormat="false" ht="15" hidden="false" customHeight="true" outlineLevel="0" collapsed="false">
      <c r="A84" s="22" t="n">
        <v>83</v>
      </c>
      <c r="B84" s="25"/>
      <c r="C84" s="22"/>
      <c r="D84" s="22"/>
      <c r="E84" s="22"/>
      <c r="F84" s="22"/>
      <c r="G84" s="22"/>
      <c r="H84" s="25"/>
      <c r="I84" s="25"/>
      <c r="J84" s="22"/>
      <c r="K84" s="22"/>
    </row>
    <row r="85" customFormat="false" ht="15" hidden="false" customHeight="true" outlineLevel="0" collapsed="false">
      <c r="A85" s="22" t="n">
        <v>84</v>
      </c>
      <c r="B85" s="25"/>
      <c r="C85" s="22"/>
      <c r="D85" s="22"/>
      <c r="E85" s="22"/>
      <c r="F85" s="22"/>
      <c r="G85" s="22"/>
      <c r="H85" s="25"/>
      <c r="I85" s="25"/>
      <c r="J85" s="22"/>
      <c r="K85" s="22"/>
    </row>
    <row r="86" customFormat="false" ht="15" hidden="false" customHeight="true" outlineLevel="0" collapsed="false">
      <c r="A86" s="22" t="n">
        <v>85</v>
      </c>
      <c r="B86" s="25"/>
      <c r="C86" s="22"/>
      <c r="D86" s="22"/>
      <c r="E86" s="22"/>
      <c r="F86" s="22"/>
      <c r="G86" s="22"/>
      <c r="H86" s="25"/>
      <c r="I86" s="25"/>
      <c r="J86" s="22"/>
      <c r="K86" s="22"/>
    </row>
    <row r="87" customFormat="false" ht="15" hidden="false" customHeight="true" outlineLevel="0" collapsed="false">
      <c r="A87" s="22" t="n">
        <v>86</v>
      </c>
      <c r="B87" s="25"/>
      <c r="C87" s="22"/>
      <c r="D87" s="22"/>
      <c r="E87" s="22"/>
      <c r="F87" s="22"/>
      <c r="G87" s="22"/>
      <c r="H87" s="25"/>
      <c r="I87" s="25"/>
      <c r="J87" s="22"/>
      <c r="K87" s="22"/>
    </row>
    <row r="88" customFormat="false" ht="15" hidden="false" customHeight="true" outlineLevel="0" collapsed="false">
      <c r="A88" s="22" t="n">
        <v>87</v>
      </c>
      <c r="B88" s="25"/>
      <c r="C88" s="22"/>
      <c r="D88" s="22"/>
      <c r="E88" s="22"/>
      <c r="F88" s="22"/>
      <c r="G88" s="22"/>
      <c r="H88" s="25"/>
      <c r="I88" s="25"/>
      <c r="J88" s="22"/>
      <c r="K88" s="22"/>
    </row>
    <row r="89" customFormat="false" ht="15" hidden="false" customHeight="true" outlineLevel="0" collapsed="false">
      <c r="A89" s="22" t="n">
        <v>88</v>
      </c>
      <c r="B89" s="25"/>
      <c r="C89" s="22"/>
      <c r="D89" s="22"/>
      <c r="E89" s="22"/>
      <c r="F89" s="22"/>
      <c r="G89" s="22"/>
      <c r="H89" s="25"/>
      <c r="I89" s="25"/>
      <c r="J89" s="22"/>
      <c r="K89" s="22"/>
    </row>
    <row r="90" customFormat="false" ht="15" hidden="false" customHeight="true" outlineLevel="0" collapsed="false">
      <c r="A90" s="22" t="n">
        <v>89</v>
      </c>
      <c r="B90" s="25"/>
      <c r="C90" s="22"/>
      <c r="D90" s="22"/>
      <c r="E90" s="22"/>
      <c r="F90" s="22"/>
      <c r="G90" s="22"/>
      <c r="H90" s="25"/>
      <c r="I90" s="25"/>
      <c r="J90" s="22"/>
      <c r="K90" s="22"/>
    </row>
    <row r="91" customFormat="false" ht="15" hidden="false" customHeight="true" outlineLevel="0" collapsed="false">
      <c r="A91" s="22" t="n">
        <v>90</v>
      </c>
      <c r="B91" s="25"/>
      <c r="C91" s="22"/>
      <c r="D91" s="22"/>
      <c r="E91" s="22"/>
      <c r="F91" s="22"/>
      <c r="G91" s="22"/>
      <c r="H91" s="25"/>
      <c r="I91" s="25"/>
      <c r="J91" s="22"/>
      <c r="K91" s="22"/>
    </row>
    <row r="92" customFormat="false" ht="15" hidden="false" customHeight="true" outlineLevel="0" collapsed="false">
      <c r="A92" s="22" t="n">
        <v>91</v>
      </c>
      <c r="B92" s="25"/>
      <c r="C92" s="22"/>
      <c r="D92" s="22"/>
      <c r="E92" s="22"/>
      <c r="F92" s="22"/>
      <c r="G92" s="22"/>
      <c r="H92" s="25"/>
      <c r="I92" s="25"/>
      <c r="J92" s="22"/>
      <c r="K92" s="22"/>
    </row>
    <row r="93" customFormat="false" ht="15" hidden="false" customHeight="true" outlineLevel="0" collapsed="false">
      <c r="A93" s="22" t="n">
        <v>92</v>
      </c>
      <c r="B93" s="25"/>
      <c r="C93" s="22"/>
      <c r="D93" s="22"/>
      <c r="E93" s="22"/>
      <c r="F93" s="22"/>
      <c r="G93" s="22"/>
      <c r="H93" s="25"/>
      <c r="I93" s="25"/>
      <c r="J93" s="22"/>
      <c r="K93" s="22"/>
    </row>
    <row r="94" customFormat="false" ht="15" hidden="false" customHeight="true" outlineLevel="0" collapsed="false">
      <c r="A94" s="22" t="n">
        <v>93</v>
      </c>
      <c r="B94" s="25"/>
      <c r="C94" s="22"/>
      <c r="D94" s="22"/>
      <c r="E94" s="22"/>
      <c r="F94" s="22"/>
      <c r="G94" s="22"/>
      <c r="H94" s="25"/>
      <c r="I94" s="25"/>
      <c r="J94" s="22"/>
      <c r="K94" s="22"/>
    </row>
    <row r="95" customFormat="false" ht="15" hidden="false" customHeight="true" outlineLevel="0" collapsed="false">
      <c r="A95" s="22" t="n">
        <v>94</v>
      </c>
      <c r="B95" s="25"/>
      <c r="C95" s="22"/>
      <c r="D95" s="22"/>
      <c r="E95" s="22"/>
      <c r="F95" s="22"/>
      <c r="G95" s="22"/>
      <c r="H95" s="25"/>
      <c r="I95" s="25"/>
      <c r="J95" s="22"/>
      <c r="K95" s="22"/>
    </row>
    <row r="96" customFormat="false" ht="15" hidden="false" customHeight="true" outlineLevel="0" collapsed="false">
      <c r="A96" s="22" t="n">
        <v>95</v>
      </c>
      <c r="B96" s="25"/>
      <c r="C96" s="22"/>
      <c r="D96" s="22"/>
      <c r="E96" s="22"/>
      <c r="F96" s="22"/>
      <c r="G96" s="22"/>
      <c r="H96" s="25"/>
      <c r="I96" s="25"/>
      <c r="J96" s="22"/>
      <c r="K96" s="22"/>
    </row>
    <row r="97" customFormat="false" ht="15" hidden="false" customHeight="true" outlineLevel="0" collapsed="false">
      <c r="A97" s="22" t="n">
        <v>96</v>
      </c>
      <c r="B97" s="25"/>
      <c r="C97" s="22"/>
      <c r="D97" s="22"/>
      <c r="E97" s="22"/>
      <c r="F97" s="22"/>
      <c r="G97" s="22"/>
      <c r="H97" s="25"/>
      <c r="I97" s="25"/>
      <c r="J97" s="22"/>
      <c r="K97" s="22"/>
    </row>
    <row r="98" customFormat="false" ht="15" hidden="false" customHeight="true" outlineLevel="0" collapsed="false">
      <c r="A98" s="22" t="n">
        <v>97</v>
      </c>
      <c r="B98" s="25"/>
      <c r="C98" s="22"/>
      <c r="D98" s="22"/>
      <c r="E98" s="22"/>
      <c r="F98" s="22"/>
      <c r="G98" s="22"/>
      <c r="H98" s="25"/>
      <c r="I98" s="25"/>
      <c r="J98" s="22"/>
      <c r="K98" s="22"/>
    </row>
    <row r="99" customFormat="false" ht="15" hidden="false" customHeight="true" outlineLevel="0" collapsed="false">
      <c r="A99" s="22" t="n">
        <v>98</v>
      </c>
      <c r="B99" s="25"/>
      <c r="C99" s="22"/>
      <c r="D99" s="22"/>
      <c r="E99" s="22"/>
      <c r="F99" s="22"/>
      <c r="G99" s="22"/>
      <c r="H99" s="25"/>
      <c r="I99" s="25"/>
      <c r="J99" s="22"/>
      <c r="K99" s="22"/>
    </row>
    <row r="100" customFormat="false" ht="15" hidden="false" customHeight="true" outlineLevel="0" collapsed="false">
      <c r="A100" s="22" t="n">
        <v>99</v>
      </c>
      <c r="B100" s="25"/>
      <c r="C100" s="22"/>
      <c r="D100" s="22"/>
      <c r="E100" s="22"/>
      <c r="F100" s="22"/>
      <c r="G100" s="22"/>
      <c r="H100" s="25"/>
      <c r="I100" s="25"/>
      <c r="J100" s="22"/>
      <c r="K100" s="22"/>
    </row>
    <row r="101" customFormat="false" ht="15" hidden="false" customHeight="true" outlineLevel="0" collapsed="false">
      <c r="A101" s="22" t="n">
        <v>100</v>
      </c>
      <c r="B101" s="25"/>
      <c r="C101" s="22"/>
      <c r="D101" s="22"/>
      <c r="E101" s="22"/>
      <c r="F101" s="22"/>
      <c r="G101" s="22"/>
      <c r="H101" s="25"/>
      <c r="I101" s="25"/>
      <c r="J101" s="22"/>
      <c r="K101" s="22"/>
    </row>
    <row r="102" customFormat="false" ht="15" hidden="false" customHeight="true" outlineLevel="0" collapsed="false">
      <c r="A102" s="22" t="n">
        <v>101</v>
      </c>
      <c r="B102" s="25"/>
      <c r="C102" s="22"/>
      <c r="D102" s="22"/>
      <c r="E102" s="22"/>
      <c r="F102" s="22"/>
      <c r="G102" s="22"/>
      <c r="H102" s="25"/>
      <c r="I102" s="25"/>
      <c r="J102" s="22"/>
      <c r="K102" s="22"/>
    </row>
    <row r="103" customFormat="false" ht="15" hidden="false" customHeight="true" outlineLevel="0" collapsed="false">
      <c r="A103" s="22" t="n">
        <v>102</v>
      </c>
      <c r="B103" s="25"/>
      <c r="C103" s="22"/>
      <c r="D103" s="22"/>
      <c r="E103" s="22"/>
      <c r="F103" s="22"/>
      <c r="G103" s="22"/>
      <c r="H103" s="25"/>
      <c r="I103" s="25"/>
      <c r="J103" s="22"/>
      <c r="K103" s="22"/>
    </row>
    <row r="104" customFormat="false" ht="15" hidden="false" customHeight="true" outlineLevel="0" collapsed="false">
      <c r="A104" s="22" t="n">
        <v>103</v>
      </c>
      <c r="B104" s="25"/>
      <c r="C104" s="22"/>
      <c r="D104" s="22"/>
      <c r="E104" s="22"/>
      <c r="F104" s="22"/>
      <c r="G104" s="22"/>
      <c r="H104" s="25"/>
      <c r="I104" s="25"/>
      <c r="J104" s="22"/>
      <c r="K104" s="22"/>
    </row>
    <row r="105" customFormat="false" ht="15" hidden="false" customHeight="true" outlineLevel="0" collapsed="false">
      <c r="A105" s="22" t="n">
        <v>104</v>
      </c>
      <c r="B105" s="25"/>
      <c r="C105" s="22"/>
      <c r="D105" s="22"/>
      <c r="E105" s="22"/>
      <c r="F105" s="22"/>
      <c r="G105" s="22"/>
      <c r="H105" s="25"/>
      <c r="I105" s="25"/>
      <c r="J105" s="22"/>
      <c r="K105" s="22"/>
    </row>
    <row r="106" customFormat="false" ht="15" hidden="false" customHeight="true" outlineLevel="0" collapsed="false">
      <c r="A106" s="22" t="n">
        <v>105</v>
      </c>
      <c r="B106" s="25"/>
      <c r="C106" s="22"/>
      <c r="D106" s="22"/>
      <c r="E106" s="22"/>
      <c r="F106" s="22"/>
      <c r="G106" s="22"/>
      <c r="H106" s="25"/>
      <c r="I106" s="25"/>
      <c r="J106" s="22"/>
      <c r="K106" s="22"/>
    </row>
    <row r="107" customFormat="false" ht="15" hidden="false" customHeight="true" outlineLevel="0" collapsed="false">
      <c r="A107" s="22" t="n">
        <v>106</v>
      </c>
      <c r="B107" s="25"/>
      <c r="C107" s="22"/>
      <c r="D107" s="22"/>
      <c r="E107" s="22"/>
      <c r="F107" s="22"/>
      <c r="G107" s="22"/>
      <c r="H107" s="25"/>
      <c r="I107" s="25"/>
      <c r="J107" s="22"/>
      <c r="K107" s="22"/>
    </row>
    <row r="108" customFormat="false" ht="15" hidden="false" customHeight="true" outlineLevel="0" collapsed="false">
      <c r="A108" s="22" t="n">
        <v>107</v>
      </c>
      <c r="B108" s="25"/>
      <c r="C108" s="22"/>
      <c r="D108" s="22"/>
      <c r="E108" s="22"/>
      <c r="F108" s="22"/>
      <c r="G108" s="22"/>
      <c r="H108" s="25"/>
      <c r="I108" s="25"/>
      <c r="J108" s="22"/>
      <c r="K108" s="22"/>
    </row>
    <row r="109" customFormat="false" ht="15" hidden="false" customHeight="true" outlineLevel="0" collapsed="false">
      <c r="A109" s="22" t="n">
        <v>108</v>
      </c>
      <c r="B109" s="25"/>
      <c r="C109" s="22"/>
      <c r="D109" s="22"/>
      <c r="E109" s="22"/>
      <c r="F109" s="22"/>
      <c r="G109" s="22"/>
      <c r="H109" s="25"/>
      <c r="I109" s="25"/>
      <c r="J109" s="22"/>
      <c r="K109" s="22"/>
    </row>
    <row r="110" customFormat="false" ht="15" hidden="false" customHeight="true" outlineLevel="0" collapsed="false">
      <c r="A110" s="22" t="n">
        <v>109</v>
      </c>
      <c r="B110" s="25"/>
      <c r="C110" s="22"/>
      <c r="D110" s="22"/>
      <c r="E110" s="22"/>
      <c r="F110" s="22"/>
      <c r="G110" s="22"/>
      <c r="H110" s="25"/>
      <c r="I110" s="25"/>
      <c r="J110" s="22"/>
      <c r="K110" s="22"/>
    </row>
    <row r="111" customFormat="false" ht="15" hidden="false" customHeight="true" outlineLevel="0" collapsed="false">
      <c r="A111" s="22" t="n">
        <v>110</v>
      </c>
      <c r="B111" s="25"/>
      <c r="C111" s="22"/>
      <c r="D111" s="22"/>
      <c r="E111" s="22"/>
      <c r="F111" s="22"/>
      <c r="G111" s="22"/>
      <c r="H111" s="25"/>
      <c r="I111" s="25"/>
      <c r="J111" s="22"/>
      <c r="K111" s="22"/>
    </row>
    <row r="112" customFormat="false" ht="15" hidden="false" customHeight="true" outlineLevel="0" collapsed="false">
      <c r="A112" s="22" t="n">
        <v>111</v>
      </c>
      <c r="B112" s="25"/>
      <c r="C112" s="22"/>
      <c r="D112" s="22"/>
      <c r="E112" s="22"/>
      <c r="F112" s="22"/>
      <c r="G112" s="22"/>
      <c r="H112" s="25"/>
      <c r="I112" s="25"/>
      <c r="J112" s="22"/>
      <c r="K112" s="22"/>
    </row>
    <row r="113" customFormat="false" ht="15" hidden="false" customHeight="true" outlineLevel="0" collapsed="false">
      <c r="A113" s="22" t="n">
        <v>112</v>
      </c>
      <c r="B113" s="25"/>
      <c r="C113" s="22"/>
      <c r="D113" s="22"/>
      <c r="E113" s="22"/>
      <c r="F113" s="22"/>
      <c r="G113" s="22"/>
      <c r="H113" s="25"/>
      <c r="I113" s="25"/>
      <c r="J113" s="22"/>
      <c r="K113" s="22"/>
    </row>
    <row r="114" customFormat="false" ht="15" hidden="false" customHeight="true" outlineLevel="0" collapsed="false">
      <c r="A114" s="22" t="n">
        <v>113</v>
      </c>
      <c r="B114" s="25"/>
      <c r="C114" s="22"/>
      <c r="D114" s="22"/>
      <c r="E114" s="22"/>
      <c r="F114" s="22"/>
      <c r="G114" s="22"/>
      <c r="H114" s="25"/>
      <c r="I114" s="25"/>
      <c r="J114" s="22"/>
      <c r="K114" s="22"/>
    </row>
    <row r="115" customFormat="false" ht="15" hidden="false" customHeight="true" outlineLevel="0" collapsed="false">
      <c r="A115" s="22" t="n">
        <v>114</v>
      </c>
      <c r="B115" s="25"/>
      <c r="C115" s="22"/>
      <c r="D115" s="22"/>
      <c r="E115" s="22"/>
      <c r="F115" s="22"/>
      <c r="G115" s="22"/>
      <c r="H115" s="25"/>
      <c r="I115" s="25"/>
      <c r="J115" s="22"/>
      <c r="K115" s="22"/>
    </row>
    <row r="116" customFormat="false" ht="15" hidden="false" customHeight="true" outlineLevel="0" collapsed="false">
      <c r="A116" s="22" t="n">
        <v>115</v>
      </c>
      <c r="B116" s="25"/>
      <c r="C116" s="22"/>
      <c r="D116" s="22"/>
      <c r="E116" s="22"/>
      <c r="F116" s="22"/>
      <c r="G116" s="22"/>
      <c r="H116" s="25"/>
      <c r="I116" s="25"/>
      <c r="J116" s="22"/>
      <c r="K116" s="22"/>
    </row>
    <row r="117" customFormat="false" ht="15" hidden="false" customHeight="true" outlineLevel="0" collapsed="false">
      <c r="A117" s="22" t="n">
        <v>116</v>
      </c>
      <c r="B117" s="25"/>
      <c r="C117" s="22"/>
      <c r="D117" s="22"/>
      <c r="E117" s="22"/>
      <c r="F117" s="22"/>
      <c r="G117" s="22"/>
      <c r="H117" s="25"/>
      <c r="I117" s="25"/>
      <c r="J117" s="22"/>
      <c r="K117" s="22"/>
    </row>
    <row r="118" customFormat="false" ht="15" hidden="false" customHeight="true" outlineLevel="0" collapsed="false">
      <c r="A118" s="22" t="n">
        <v>117</v>
      </c>
      <c r="B118" s="25"/>
      <c r="C118" s="22"/>
      <c r="D118" s="22"/>
      <c r="E118" s="22"/>
      <c r="F118" s="22"/>
      <c r="G118" s="22"/>
      <c r="H118" s="25"/>
      <c r="I118" s="25"/>
      <c r="J118" s="22"/>
      <c r="K118" s="22"/>
    </row>
    <row r="119" customFormat="false" ht="15" hidden="false" customHeight="true" outlineLevel="0" collapsed="false">
      <c r="A119" s="22" t="n">
        <v>118</v>
      </c>
      <c r="B119" s="25"/>
      <c r="C119" s="22"/>
      <c r="D119" s="22"/>
      <c r="E119" s="22"/>
      <c r="F119" s="22"/>
      <c r="G119" s="22"/>
      <c r="H119" s="25"/>
      <c r="I119" s="25"/>
      <c r="J119" s="22"/>
      <c r="K119" s="22"/>
    </row>
    <row r="120" customFormat="false" ht="15" hidden="false" customHeight="true" outlineLevel="0" collapsed="false">
      <c r="A120" s="22" t="n">
        <v>119</v>
      </c>
      <c r="B120" s="25"/>
      <c r="C120" s="22"/>
      <c r="D120" s="22"/>
      <c r="E120" s="22"/>
      <c r="F120" s="22"/>
      <c r="G120" s="22"/>
      <c r="H120" s="25"/>
      <c r="I120" s="25"/>
      <c r="J120" s="22"/>
      <c r="K120" s="22"/>
    </row>
    <row r="121" customFormat="false" ht="15" hidden="false" customHeight="true" outlineLevel="0" collapsed="false">
      <c r="A121" s="22" t="n">
        <v>120</v>
      </c>
      <c r="B121" s="25"/>
      <c r="C121" s="22"/>
      <c r="D121" s="22"/>
      <c r="E121" s="22"/>
      <c r="F121" s="22"/>
      <c r="G121" s="22"/>
      <c r="H121" s="25"/>
      <c r="I121" s="25"/>
      <c r="J121" s="22"/>
      <c r="K121" s="22"/>
    </row>
    <row r="122" customFormat="false" ht="15" hidden="false" customHeight="true" outlineLevel="0" collapsed="false">
      <c r="A122" s="22" t="n">
        <v>121</v>
      </c>
      <c r="B122" s="25"/>
      <c r="C122" s="22"/>
      <c r="D122" s="22"/>
      <c r="E122" s="22"/>
      <c r="F122" s="22"/>
      <c r="G122" s="22"/>
      <c r="H122" s="25"/>
      <c r="I122" s="25"/>
      <c r="J122" s="22"/>
      <c r="K122" s="22"/>
    </row>
    <row r="123" customFormat="false" ht="15" hidden="false" customHeight="true" outlineLevel="0" collapsed="false">
      <c r="A123" s="22" t="n">
        <v>122</v>
      </c>
      <c r="B123" s="25"/>
      <c r="C123" s="22"/>
      <c r="D123" s="22"/>
      <c r="E123" s="22"/>
      <c r="F123" s="22"/>
      <c r="G123" s="22"/>
      <c r="H123" s="25"/>
      <c r="I123" s="25"/>
      <c r="J123" s="22"/>
      <c r="K123" s="22"/>
    </row>
    <row r="124" customFormat="false" ht="15" hidden="false" customHeight="true" outlineLevel="0" collapsed="false">
      <c r="A124" s="22" t="n">
        <v>123</v>
      </c>
      <c r="B124" s="25"/>
      <c r="C124" s="22"/>
      <c r="D124" s="22"/>
      <c r="E124" s="22"/>
      <c r="F124" s="22"/>
      <c r="G124" s="22"/>
      <c r="H124" s="25"/>
      <c r="I124" s="25"/>
      <c r="J124" s="22"/>
      <c r="K124" s="22"/>
    </row>
    <row r="125" customFormat="false" ht="15" hidden="false" customHeight="true" outlineLevel="0" collapsed="false">
      <c r="A125" s="22" t="n">
        <v>124</v>
      </c>
      <c r="B125" s="25"/>
      <c r="C125" s="22"/>
      <c r="D125" s="22"/>
      <c r="E125" s="22"/>
      <c r="F125" s="22"/>
      <c r="G125" s="22"/>
      <c r="H125" s="25"/>
      <c r="I125" s="25"/>
      <c r="J125" s="22"/>
      <c r="K125" s="22"/>
    </row>
    <row r="126" customFormat="false" ht="15" hidden="false" customHeight="true" outlineLevel="0" collapsed="false">
      <c r="A126" s="22" t="n">
        <v>125</v>
      </c>
      <c r="B126" s="25"/>
      <c r="C126" s="22"/>
      <c r="D126" s="22"/>
      <c r="E126" s="22"/>
      <c r="F126" s="22"/>
      <c r="G126" s="22"/>
      <c r="H126" s="25"/>
      <c r="I126" s="25"/>
      <c r="J126" s="22"/>
      <c r="K126" s="22"/>
    </row>
    <row r="127" customFormat="false" ht="15" hidden="false" customHeight="true" outlineLevel="0" collapsed="false">
      <c r="A127" s="22" t="n">
        <v>126</v>
      </c>
      <c r="B127" s="25"/>
      <c r="C127" s="22"/>
      <c r="D127" s="22"/>
      <c r="E127" s="22"/>
      <c r="F127" s="22"/>
      <c r="G127" s="22"/>
      <c r="H127" s="25"/>
      <c r="I127" s="25"/>
      <c r="J127" s="22"/>
      <c r="K127" s="22"/>
    </row>
    <row r="128" customFormat="false" ht="15" hidden="false" customHeight="true" outlineLevel="0" collapsed="false">
      <c r="A128" s="22" t="n">
        <v>127</v>
      </c>
      <c r="B128" s="25"/>
      <c r="C128" s="22"/>
      <c r="D128" s="22"/>
      <c r="E128" s="22"/>
      <c r="F128" s="22"/>
      <c r="G128" s="22"/>
      <c r="H128" s="25"/>
      <c r="I128" s="25"/>
      <c r="J128" s="22"/>
      <c r="K128" s="22"/>
    </row>
    <row r="129" customFormat="false" ht="15" hidden="false" customHeight="true" outlineLevel="0" collapsed="false">
      <c r="A129" s="22" t="n">
        <v>128</v>
      </c>
      <c r="B129" s="25"/>
      <c r="C129" s="22"/>
      <c r="D129" s="22"/>
      <c r="E129" s="22"/>
      <c r="F129" s="22"/>
      <c r="G129" s="22"/>
      <c r="H129" s="25"/>
      <c r="I129" s="25"/>
      <c r="J129" s="22"/>
      <c r="K129" s="22"/>
    </row>
    <row r="130" customFormat="false" ht="15" hidden="false" customHeight="true" outlineLevel="0" collapsed="false">
      <c r="A130" s="22" t="n">
        <v>129</v>
      </c>
      <c r="B130" s="25"/>
      <c r="C130" s="22"/>
      <c r="D130" s="22"/>
      <c r="E130" s="22"/>
      <c r="F130" s="22"/>
      <c r="G130" s="22"/>
      <c r="H130" s="25"/>
      <c r="I130" s="25"/>
      <c r="J130" s="22"/>
      <c r="K130" s="22"/>
    </row>
    <row r="131" customFormat="false" ht="15" hidden="false" customHeight="true" outlineLevel="0" collapsed="false">
      <c r="A131" s="22" t="n">
        <v>130</v>
      </c>
      <c r="B131" s="25"/>
      <c r="C131" s="22"/>
      <c r="D131" s="22"/>
      <c r="E131" s="22"/>
      <c r="F131" s="22"/>
      <c r="G131" s="22"/>
      <c r="H131" s="25"/>
      <c r="I131" s="25"/>
      <c r="J131" s="22"/>
      <c r="K131" s="22"/>
    </row>
    <row r="132" customFormat="false" ht="15" hidden="false" customHeight="true" outlineLevel="0" collapsed="false">
      <c r="A132" s="22" t="n">
        <v>131</v>
      </c>
      <c r="B132" s="25"/>
      <c r="C132" s="22"/>
      <c r="D132" s="22"/>
      <c r="E132" s="22"/>
      <c r="F132" s="22"/>
      <c r="G132" s="22"/>
      <c r="H132" s="25"/>
      <c r="I132" s="25"/>
      <c r="J132" s="22"/>
      <c r="K132" s="22"/>
    </row>
    <row r="133" customFormat="false" ht="15" hidden="false" customHeight="true" outlineLevel="0" collapsed="false">
      <c r="A133" s="22" t="n">
        <v>132</v>
      </c>
      <c r="B133" s="25"/>
      <c r="C133" s="22"/>
      <c r="D133" s="22"/>
      <c r="E133" s="22"/>
      <c r="F133" s="22"/>
      <c r="G133" s="22"/>
      <c r="H133" s="25"/>
      <c r="I133" s="25"/>
      <c r="J133" s="22"/>
      <c r="K133" s="22"/>
    </row>
    <row r="134" customFormat="false" ht="15" hidden="false" customHeight="true" outlineLevel="0" collapsed="false">
      <c r="A134" s="22" t="n">
        <v>133</v>
      </c>
      <c r="B134" s="25"/>
      <c r="C134" s="22"/>
      <c r="D134" s="22"/>
      <c r="E134" s="22"/>
      <c r="F134" s="22"/>
      <c r="G134" s="22"/>
      <c r="H134" s="25"/>
      <c r="I134" s="25"/>
      <c r="J134" s="22"/>
      <c r="K134" s="22"/>
    </row>
    <row r="135" customFormat="false" ht="15" hidden="false" customHeight="true" outlineLevel="0" collapsed="false">
      <c r="A135" s="22" t="n">
        <v>134</v>
      </c>
      <c r="B135" s="25"/>
      <c r="C135" s="22"/>
      <c r="D135" s="22"/>
      <c r="E135" s="22"/>
      <c r="F135" s="22"/>
      <c r="G135" s="22"/>
      <c r="H135" s="25"/>
      <c r="I135" s="25"/>
      <c r="J135" s="22"/>
      <c r="K135" s="22"/>
    </row>
    <row r="136" customFormat="false" ht="15" hidden="false" customHeight="true" outlineLevel="0" collapsed="false">
      <c r="A136" s="22" t="n">
        <v>135</v>
      </c>
      <c r="B136" s="25"/>
      <c r="C136" s="22"/>
      <c r="D136" s="22"/>
      <c r="E136" s="22"/>
      <c r="F136" s="22"/>
      <c r="G136" s="22"/>
      <c r="H136" s="25"/>
      <c r="I136" s="25"/>
      <c r="J136" s="22"/>
      <c r="K136" s="22"/>
    </row>
    <row r="137" customFormat="false" ht="15" hidden="false" customHeight="true" outlineLevel="0" collapsed="false">
      <c r="A137" s="22" t="n">
        <v>136</v>
      </c>
      <c r="B137" s="25"/>
      <c r="C137" s="22"/>
      <c r="D137" s="22"/>
      <c r="E137" s="22"/>
      <c r="F137" s="22"/>
      <c r="G137" s="22"/>
      <c r="H137" s="25"/>
      <c r="I137" s="25"/>
      <c r="J137" s="22"/>
      <c r="K137" s="22"/>
    </row>
    <row r="138" customFormat="false" ht="15" hidden="false" customHeight="true" outlineLevel="0" collapsed="false">
      <c r="A138" s="22" t="n">
        <v>137</v>
      </c>
      <c r="B138" s="25"/>
      <c r="C138" s="22"/>
      <c r="D138" s="22"/>
      <c r="E138" s="22"/>
      <c r="F138" s="22"/>
      <c r="G138" s="22"/>
      <c r="H138" s="25"/>
      <c r="I138" s="25"/>
      <c r="J138" s="22"/>
      <c r="K138" s="22"/>
    </row>
    <row r="139" customFormat="false" ht="15" hidden="false" customHeight="true" outlineLevel="0" collapsed="false">
      <c r="A139" s="22" t="n">
        <v>138</v>
      </c>
      <c r="B139" s="25"/>
      <c r="C139" s="22"/>
      <c r="D139" s="22"/>
      <c r="E139" s="22"/>
      <c r="F139" s="22"/>
      <c r="G139" s="22"/>
      <c r="H139" s="25"/>
      <c r="I139" s="25"/>
      <c r="J139" s="22"/>
      <c r="K139" s="22"/>
    </row>
    <row r="140" customFormat="false" ht="15" hidden="false" customHeight="true" outlineLevel="0" collapsed="false">
      <c r="A140" s="22" t="n">
        <v>139</v>
      </c>
      <c r="B140" s="25"/>
      <c r="C140" s="22"/>
      <c r="D140" s="22"/>
      <c r="E140" s="22"/>
      <c r="F140" s="22"/>
      <c r="G140" s="22"/>
      <c r="H140" s="25"/>
      <c r="I140" s="25"/>
      <c r="J140" s="22"/>
      <c r="K140" s="22"/>
    </row>
    <row r="141" customFormat="false" ht="15" hidden="false" customHeight="true" outlineLevel="0" collapsed="false">
      <c r="A141" s="22" t="n">
        <v>140</v>
      </c>
      <c r="B141" s="25"/>
      <c r="C141" s="22"/>
      <c r="D141" s="22"/>
      <c r="E141" s="22"/>
      <c r="F141" s="22"/>
      <c r="G141" s="22"/>
      <c r="H141" s="25"/>
      <c r="I141" s="25"/>
      <c r="J141" s="22"/>
      <c r="K141" s="22"/>
    </row>
    <row r="142" customFormat="false" ht="15" hidden="false" customHeight="true" outlineLevel="0" collapsed="false">
      <c r="A142" s="22" t="n">
        <v>141</v>
      </c>
      <c r="B142" s="25"/>
      <c r="C142" s="22"/>
      <c r="D142" s="22"/>
      <c r="E142" s="22"/>
      <c r="F142" s="22"/>
      <c r="G142" s="22"/>
      <c r="H142" s="25"/>
      <c r="I142" s="25"/>
      <c r="J142" s="22"/>
      <c r="K142" s="22"/>
    </row>
    <row r="143" customFormat="false" ht="15" hidden="false" customHeight="true" outlineLevel="0" collapsed="false">
      <c r="A143" s="22" t="n">
        <v>142</v>
      </c>
      <c r="B143" s="25"/>
      <c r="C143" s="22"/>
      <c r="D143" s="22"/>
      <c r="E143" s="22"/>
      <c r="F143" s="22"/>
      <c r="G143" s="22"/>
      <c r="H143" s="25"/>
      <c r="I143" s="25"/>
      <c r="J143" s="22"/>
      <c r="K143" s="22"/>
    </row>
    <row r="144" customFormat="false" ht="15" hidden="false" customHeight="true" outlineLevel="0" collapsed="false">
      <c r="A144" s="22" t="n">
        <v>143</v>
      </c>
      <c r="B144" s="25"/>
      <c r="C144" s="22"/>
      <c r="D144" s="22"/>
      <c r="E144" s="22"/>
      <c r="F144" s="22"/>
      <c r="G144" s="22"/>
      <c r="H144" s="25"/>
      <c r="I144" s="25"/>
      <c r="J144" s="22"/>
      <c r="K144" s="22"/>
    </row>
    <row r="145" customFormat="false" ht="15" hidden="false" customHeight="true" outlineLevel="0" collapsed="false">
      <c r="A145" s="22" t="n">
        <v>144</v>
      </c>
      <c r="B145" s="25"/>
      <c r="C145" s="22"/>
      <c r="D145" s="22"/>
      <c r="E145" s="22"/>
      <c r="F145" s="22"/>
      <c r="G145" s="22"/>
      <c r="H145" s="25"/>
      <c r="I145" s="25"/>
      <c r="J145" s="22"/>
      <c r="K145" s="22"/>
    </row>
    <row r="146" customFormat="false" ht="15" hidden="false" customHeight="true" outlineLevel="0" collapsed="false">
      <c r="A146" s="22" t="n">
        <v>145</v>
      </c>
      <c r="B146" s="25"/>
      <c r="C146" s="22"/>
      <c r="D146" s="22"/>
      <c r="E146" s="22"/>
      <c r="F146" s="22"/>
      <c r="G146" s="22"/>
      <c r="H146" s="25"/>
      <c r="I146" s="25"/>
      <c r="J146" s="22"/>
      <c r="K146" s="22"/>
    </row>
    <row r="147" customFormat="false" ht="15" hidden="false" customHeight="true" outlineLevel="0" collapsed="false">
      <c r="A147" s="22" t="n">
        <v>146</v>
      </c>
      <c r="B147" s="25"/>
      <c r="C147" s="22"/>
      <c r="D147" s="22"/>
      <c r="E147" s="22"/>
      <c r="F147" s="22"/>
      <c r="G147" s="22"/>
      <c r="H147" s="25"/>
      <c r="I147" s="25"/>
      <c r="J147" s="22"/>
      <c r="K147" s="22"/>
    </row>
    <row r="148" customFormat="false" ht="15" hidden="false" customHeight="true" outlineLevel="0" collapsed="false">
      <c r="A148" s="22" t="n">
        <v>147</v>
      </c>
      <c r="B148" s="25"/>
      <c r="C148" s="22"/>
      <c r="D148" s="22"/>
      <c r="E148" s="22"/>
      <c r="F148" s="22"/>
      <c r="G148" s="22"/>
      <c r="H148" s="25"/>
      <c r="I148" s="25"/>
      <c r="J148" s="22"/>
      <c r="K148" s="22"/>
    </row>
    <row r="149" customFormat="false" ht="15" hidden="false" customHeight="true" outlineLevel="0" collapsed="false">
      <c r="A149" s="22" t="n">
        <v>148</v>
      </c>
      <c r="B149" s="25"/>
      <c r="C149" s="22"/>
      <c r="D149" s="22"/>
      <c r="E149" s="22"/>
      <c r="F149" s="22"/>
      <c r="G149" s="22"/>
      <c r="H149" s="25"/>
      <c r="I149" s="25"/>
      <c r="J149" s="22"/>
      <c r="K149" s="22"/>
    </row>
    <row r="150" customFormat="false" ht="15" hidden="false" customHeight="true" outlineLevel="0" collapsed="false">
      <c r="A150" s="22" t="n">
        <v>149</v>
      </c>
      <c r="B150" s="25"/>
      <c r="C150" s="22"/>
      <c r="D150" s="22"/>
      <c r="E150" s="22"/>
      <c r="F150" s="22"/>
      <c r="G150" s="22"/>
      <c r="H150" s="25"/>
      <c r="I150" s="25"/>
      <c r="J150" s="22"/>
      <c r="K150" s="22"/>
    </row>
    <row r="151" customFormat="false" ht="15" hidden="false" customHeight="true" outlineLevel="0" collapsed="false">
      <c r="A151" s="22" t="n">
        <v>150</v>
      </c>
      <c r="B151" s="25"/>
      <c r="C151" s="22"/>
      <c r="D151" s="22"/>
      <c r="E151" s="22"/>
      <c r="F151" s="22"/>
      <c r="G151" s="22"/>
      <c r="H151" s="25"/>
      <c r="I151" s="25"/>
      <c r="J151" s="22"/>
      <c r="K151" s="22"/>
    </row>
    <row r="152" customFormat="false" ht="15" hidden="false" customHeight="true" outlineLevel="0" collapsed="false">
      <c r="A152" s="22" t="n">
        <v>151</v>
      </c>
      <c r="B152" s="25"/>
      <c r="C152" s="22"/>
      <c r="D152" s="22"/>
      <c r="E152" s="22"/>
      <c r="F152" s="22"/>
      <c r="G152" s="22"/>
      <c r="H152" s="25"/>
      <c r="I152" s="25"/>
      <c r="J152" s="22"/>
      <c r="K152" s="22"/>
    </row>
    <row r="153" customFormat="false" ht="15" hidden="false" customHeight="true" outlineLevel="0" collapsed="false">
      <c r="A153" s="22" t="n">
        <v>152</v>
      </c>
      <c r="B153" s="25"/>
      <c r="C153" s="22"/>
      <c r="D153" s="22"/>
      <c r="E153" s="22"/>
      <c r="F153" s="22"/>
      <c r="G153" s="22"/>
      <c r="H153" s="25"/>
      <c r="I153" s="25"/>
      <c r="J153" s="22"/>
      <c r="K153" s="22"/>
    </row>
    <row r="154" customFormat="false" ht="15" hidden="false" customHeight="true" outlineLevel="0" collapsed="false">
      <c r="A154" s="22" t="n">
        <v>153</v>
      </c>
      <c r="B154" s="25"/>
      <c r="C154" s="22"/>
      <c r="D154" s="22"/>
      <c r="E154" s="22"/>
      <c r="F154" s="22"/>
      <c r="G154" s="22"/>
      <c r="H154" s="25"/>
      <c r="I154" s="25"/>
      <c r="J154" s="22"/>
      <c r="K154" s="22"/>
    </row>
    <row r="155" customFormat="false" ht="15" hidden="false" customHeight="true" outlineLevel="0" collapsed="false">
      <c r="A155" s="22" t="n">
        <v>154</v>
      </c>
      <c r="B155" s="25"/>
      <c r="C155" s="22"/>
      <c r="D155" s="22"/>
      <c r="E155" s="22"/>
      <c r="F155" s="22"/>
      <c r="G155" s="22"/>
      <c r="H155" s="25"/>
      <c r="I155" s="25"/>
      <c r="J155" s="22"/>
      <c r="K155" s="22"/>
    </row>
    <row r="156" customFormat="false" ht="15" hidden="false" customHeight="true" outlineLevel="0" collapsed="false">
      <c r="A156" s="22" t="n">
        <v>155</v>
      </c>
      <c r="B156" s="25"/>
      <c r="C156" s="22"/>
      <c r="D156" s="22"/>
      <c r="E156" s="22"/>
      <c r="F156" s="22"/>
      <c r="G156" s="22"/>
      <c r="H156" s="25"/>
      <c r="I156" s="25"/>
      <c r="J156" s="22"/>
      <c r="K156" s="22"/>
    </row>
    <row r="157" customFormat="false" ht="15" hidden="false" customHeight="true" outlineLevel="0" collapsed="false">
      <c r="A157" s="22" t="n">
        <v>156</v>
      </c>
      <c r="B157" s="25"/>
      <c r="C157" s="22"/>
      <c r="D157" s="22"/>
      <c r="E157" s="22"/>
      <c r="F157" s="22"/>
      <c r="G157" s="22"/>
      <c r="H157" s="25"/>
      <c r="I157" s="25"/>
      <c r="J157" s="22"/>
      <c r="K157" s="22"/>
    </row>
    <row r="158" customFormat="false" ht="15" hidden="false" customHeight="true" outlineLevel="0" collapsed="false">
      <c r="A158" s="22" t="n">
        <v>157</v>
      </c>
      <c r="B158" s="25"/>
      <c r="C158" s="22"/>
      <c r="D158" s="22"/>
      <c r="E158" s="22"/>
      <c r="F158" s="22"/>
      <c r="G158" s="22"/>
      <c r="H158" s="25"/>
      <c r="I158" s="25"/>
      <c r="J158" s="22"/>
      <c r="K158" s="22"/>
    </row>
    <row r="159" customFormat="false" ht="15" hidden="false" customHeight="true" outlineLevel="0" collapsed="false">
      <c r="A159" s="22" t="n">
        <v>158</v>
      </c>
      <c r="B159" s="25"/>
      <c r="C159" s="22"/>
      <c r="D159" s="22"/>
      <c r="E159" s="22"/>
      <c r="F159" s="22"/>
      <c r="G159" s="22"/>
      <c r="H159" s="25"/>
      <c r="I159" s="25"/>
      <c r="J159" s="22"/>
      <c r="K159" s="22"/>
    </row>
    <row r="160" customFormat="false" ht="15" hidden="false" customHeight="true" outlineLevel="0" collapsed="false">
      <c r="A160" s="22" t="n">
        <v>159</v>
      </c>
      <c r="B160" s="25"/>
      <c r="C160" s="22"/>
      <c r="D160" s="22"/>
      <c r="E160" s="22"/>
      <c r="F160" s="22"/>
      <c r="G160" s="22"/>
      <c r="H160" s="25"/>
      <c r="I160" s="25"/>
      <c r="J160" s="22"/>
      <c r="K160" s="22"/>
    </row>
    <row r="161" customFormat="false" ht="15" hidden="false" customHeight="true" outlineLevel="0" collapsed="false">
      <c r="A161" s="22" t="n">
        <v>160</v>
      </c>
      <c r="B161" s="25"/>
      <c r="C161" s="22"/>
      <c r="D161" s="22"/>
      <c r="E161" s="22"/>
      <c r="F161" s="22"/>
      <c r="G161" s="22"/>
      <c r="H161" s="25"/>
      <c r="I161" s="25"/>
      <c r="J161" s="22"/>
      <c r="K161" s="22"/>
    </row>
    <row r="162" customFormat="false" ht="15" hidden="false" customHeight="true" outlineLevel="0" collapsed="false">
      <c r="A162" s="22" t="n">
        <v>161</v>
      </c>
      <c r="B162" s="25"/>
      <c r="C162" s="22"/>
      <c r="D162" s="22"/>
      <c r="E162" s="22"/>
      <c r="F162" s="22"/>
      <c r="G162" s="22"/>
      <c r="H162" s="25"/>
      <c r="I162" s="25"/>
      <c r="J162" s="22"/>
      <c r="K162" s="22"/>
    </row>
    <row r="163" customFormat="false" ht="15" hidden="false" customHeight="true" outlineLevel="0" collapsed="false">
      <c r="A163" s="22" t="n">
        <v>162</v>
      </c>
      <c r="B163" s="25"/>
      <c r="C163" s="22"/>
      <c r="D163" s="22"/>
      <c r="E163" s="22"/>
      <c r="F163" s="22"/>
      <c r="G163" s="22"/>
      <c r="H163" s="25"/>
      <c r="I163" s="25"/>
      <c r="J163" s="22"/>
      <c r="K163" s="22"/>
    </row>
    <row r="164" customFormat="false" ht="15" hidden="false" customHeight="true" outlineLevel="0" collapsed="false">
      <c r="A164" s="22" t="n">
        <v>163</v>
      </c>
      <c r="B164" s="25"/>
      <c r="C164" s="22"/>
      <c r="D164" s="22"/>
      <c r="E164" s="22"/>
      <c r="F164" s="22"/>
      <c r="G164" s="22"/>
      <c r="H164" s="25"/>
      <c r="I164" s="25"/>
      <c r="J164" s="22"/>
      <c r="K164" s="22"/>
    </row>
    <row r="165" customFormat="false" ht="15" hidden="false" customHeight="true" outlineLevel="0" collapsed="false">
      <c r="A165" s="22" t="n">
        <v>164</v>
      </c>
      <c r="B165" s="25"/>
      <c r="C165" s="22"/>
      <c r="D165" s="22"/>
      <c r="E165" s="22"/>
      <c r="F165" s="22"/>
      <c r="G165" s="22"/>
      <c r="H165" s="25"/>
      <c r="I165" s="25"/>
      <c r="J165" s="22"/>
      <c r="K165" s="22"/>
    </row>
    <row r="166" customFormat="false" ht="15" hidden="false" customHeight="true" outlineLevel="0" collapsed="false">
      <c r="A166" s="22" t="n">
        <v>165</v>
      </c>
      <c r="B166" s="25"/>
      <c r="C166" s="22"/>
      <c r="D166" s="22"/>
      <c r="E166" s="22"/>
      <c r="F166" s="22"/>
      <c r="G166" s="22"/>
      <c r="H166" s="25"/>
      <c r="I166" s="25"/>
      <c r="J166" s="22"/>
      <c r="K166" s="22"/>
    </row>
    <row r="167" customFormat="false" ht="15" hidden="false" customHeight="true" outlineLevel="0" collapsed="false">
      <c r="A167" s="22" t="n">
        <v>166</v>
      </c>
      <c r="B167" s="25"/>
      <c r="C167" s="22"/>
      <c r="D167" s="22"/>
      <c r="E167" s="22"/>
      <c r="F167" s="22"/>
      <c r="G167" s="22"/>
      <c r="H167" s="25"/>
      <c r="I167" s="25"/>
      <c r="J167" s="22"/>
      <c r="K167" s="22"/>
    </row>
    <row r="168" customFormat="false" ht="15" hidden="false" customHeight="true" outlineLevel="0" collapsed="false">
      <c r="A168" s="22" t="n">
        <v>167</v>
      </c>
      <c r="B168" s="25"/>
      <c r="C168" s="22"/>
      <c r="D168" s="22"/>
      <c r="E168" s="22"/>
      <c r="F168" s="22"/>
      <c r="G168" s="22"/>
      <c r="H168" s="25"/>
      <c r="I168" s="25"/>
      <c r="J168" s="22"/>
      <c r="K168" s="22"/>
    </row>
    <row r="169" customFormat="false" ht="15" hidden="false" customHeight="true" outlineLevel="0" collapsed="false">
      <c r="A169" s="22" t="n">
        <v>168</v>
      </c>
      <c r="B169" s="25"/>
      <c r="C169" s="22"/>
      <c r="D169" s="22"/>
      <c r="E169" s="22"/>
      <c r="F169" s="22"/>
      <c r="G169" s="22"/>
      <c r="H169" s="25"/>
      <c r="I169" s="25"/>
      <c r="J169" s="22"/>
      <c r="K169" s="22"/>
    </row>
    <row r="170" customFormat="false" ht="15" hidden="false" customHeight="true" outlineLevel="0" collapsed="false">
      <c r="A170" s="22" t="n">
        <v>169</v>
      </c>
      <c r="B170" s="25"/>
      <c r="C170" s="22"/>
      <c r="D170" s="22"/>
      <c r="E170" s="22"/>
      <c r="F170" s="22"/>
      <c r="G170" s="22"/>
      <c r="H170" s="25"/>
      <c r="I170" s="25"/>
      <c r="J170" s="22"/>
      <c r="K170" s="22"/>
    </row>
    <row r="171" customFormat="false" ht="15" hidden="false" customHeight="true" outlineLevel="0" collapsed="false">
      <c r="A171" s="22" t="n">
        <v>170</v>
      </c>
      <c r="B171" s="25"/>
      <c r="C171" s="22"/>
      <c r="D171" s="22"/>
      <c r="E171" s="22"/>
      <c r="F171" s="22"/>
      <c r="G171" s="22"/>
      <c r="H171" s="25"/>
      <c r="I171" s="25"/>
      <c r="J171" s="22"/>
      <c r="K171" s="22"/>
    </row>
    <row r="172" customFormat="false" ht="15" hidden="false" customHeight="true" outlineLevel="0" collapsed="false">
      <c r="A172" s="22" t="n">
        <v>171</v>
      </c>
      <c r="B172" s="25"/>
      <c r="C172" s="22"/>
      <c r="D172" s="22"/>
      <c r="E172" s="22"/>
      <c r="F172" s="22"/>
      <c r="G172" s="22"/>
      <c r="H172" s="25"/>
      <c r="I172" s="25"/>
      <c r="J172" s="22"/>
      <c r="K172" s="22"/>
    </row>
    <row r="173" customFormat="false" ht="15" hidden="false" customHeight="true" outlineLevel="0" collapsed="false">
      <c r="A173" s="22" t="n">
        <v>172</v>
      </c>
      <c r="B173" s="25"/>
      <c r="C173" s="22"/>
      <c r="D173" s="22"/>
      <c r="E173" s="22"/>
      <c r="F173" s="22"/>
      <c r="G173" s="22"/>
      <c r="H173" s="25"/>
      <c r="I173" s="25"/>
      <c r="J173" s="22"/>
      <c r="K173" s="22"/>
    </row>
    <row r="174" customFormat="false" ht="15" hidden="false" customHeight="true" outlineLevel="0" collapsed="false">
      <c r="A174" s="22" t="n">
        <v>173</v>
      </c>
      <c r="B174" s="25"/>
      <c r="C174" s="22"/>
      <c r="D174" s="22"/>
      <c r="E174" s="22"/>
      <c r="F174" s="22"/>
      <c r="G174" s="22"/>
      <c r="H174" s="25"/>
      <c r="I174" s="25"/>
      <c r="J174" s="22"/>
      <c r="K174" s="22"/>
    </row>
    <row r="175" customFormat="false" ht="15" hidden="false" customHeight="true" outlineLevel="0" collapsed="false">
      <c r="A175" s="22" t="n">
        <v>174</v>
      </c>
      <c r="B175" s="25"/>
      <c r="C175" s="22"/>
      <c r="D175" s="22"/>
      <c r="E175" s="22"/>
      <c r="F175" s="22"/>
      <c r="G175" s="22"/>
      <c r="H175" s="25"/>
      <c r="I175" s="25"/>
      <c r="J175" s="22"/>
      <c r="K175" s="22"/>
    </row>
    <row r="176" customFormat="false" ht="15" hidden="false" customHeight="true" outlineLevel="0" collapsed="false">
      <c r="A176" s="22" t="n">
        <v>175</v>
      </c>
      <c r="B176" s="25"/>
      <c r="C176" s="22"/>
      <c r="D176" s="22"/>
      <c r="E176" s="22"/>
      <c r="F176" s="22"/>
      <c r="G176" s="22"/>
      <c r="H176" s="25"/>
      <c r="I176" s="25"/>
      <c r="J176" s="22"/>
      <c r="K176" s="22"/>
    </row>
    <row r="177" customFormat="false" ht="15" hidden="false" customHeight="true" outlineLevel="0" collapsed="false">
      <c r="A177" s="22" t="n">
        <v>176</v>
      </c>
      <c r="B177" s="25"/>
      <c r="C177" s="22"/>
      <c r="D177" s="22"/>
      <c r="E177" s="22"/>
      <c r="F177" s="22"/>
      <c r="G177" s="22"/>
      <c r="H177" s="25"/>
      <c r="I177" s="25"/>
      <c r="J177" s="22"/>
      <c r="K177" s="22"/>
    </row>
    <row r="178" customFormat="false" ht="15" hidden="false" customHeight="true" outlineLevel="0" collapsed="false">
      <c r="A178" s="22" t="n">
        <v>177</v>
      </c>
      <c r="B178" s="25"/>
      <c r="C178" s="22"/>
      <c r="D178" s="22"/>
      <c r="E178" s="22"/>
      <c r="F178" s="22"/>
      <c r="G178" s="22"/>
      <c r="H178" s="25"/>
      <c r="I178" s="25"/>
      <c r="J178" s="22"/>
      <c r="K178" s="22"/>
    </row>
    <row r="179" customFormat="false" ht="15" hidden="false" customHeight="true" outlineLevel="0" collapsed="false">
      <c r="A179" s="22" t="n">
        <v>178</v>
      </c>
      <c r="B179" s="25"/>
      <c r="C179" s="22"/>
      <c r="D179" s="22"/>
      <c r="E179" s="22"/>
      <c r="F179" s="22"/>
      <c r="G179" s="22"/>
      <c r="H179" s="25"/>
      <c r="I179" s="25"/>
      <c r="J179" s="22"/>
      <c r="K179" s="22"/>
    </row>
    <row r="180" customFormat="false" ht="15" hidden="false" customHeight="true" outlineLevel="0" collapsed="false">
      <c r="A180" s="22" t="n">
        <v>179</v>
      </c>
      <c r="B180" s="25"/>
      <c r="C180" s="22"/>
      <c r="D180" s="22"/>
      <c r="E180" s="22"/>
      <c r="F180" s="22"/>
      <c r="G180" s="22"/>
      <c r="H180" s="25"/>
      <c r="I180" s="25"/>
      <c r="J180" s="22"/>
      <c r="K180" s="22"/>
    </row>
    <row r="181" customFormat="false" ht="15" hidden="false" customHeight="true" outlineLevel="0" collapsed="false">
      <c r="A181" s="22" t="n">
        <v>180</v>
      </c>
      <c r="B181" s="25"/>
      <c r="C181" s="22"/>
      <c r="D181" s="22"/>
      <c r="E181" s="22"/>
      <c r="F181" s="22"/>
      <c r="G181" s="22"/>
      <c r="H181" s="25"/>
      <c r="I181" s="25"/>
      <c r="J181" s="22"/>
      <c r="K181" s="22"/>
    </row>
    <row r="182" customFormat="false" ht="15" hidden="false" customHeight="true" outlineLevel="0" collapsed="false">
      <c r="A182" s="22" t="n">
        <v>181</v>
      </c>
      <c r="B182" s="25"/>
      <c r="C182" s="22"/>
      <c r="D182" s="22"/>
      <c r="E182" s="22"/>
      <c r="F182" s="22"/>
      <c r="G182" s="22"/>
      <c r="H182" s="25"/>
      <c r="I182" s="25"/>
      <c r="J182" s="22"/>
      <c r="K182" s="22"/>
    </row>
    <row r="183" customFormat="false" ht="15" hidden="false" customHeight="true" outlineLevel="0" collapsed="false">
      <c r="A183" s="22" t="n">
        <v>182</v>
      </c>
      <c r="B183" s="25"/>
      <c r="C183" s="22"/>
      <c r="D183" s="22"/>
      <c r="E183" s="22"/>
      <c r="F183" s="22"/>
      <c r="G183" s="22"/>
      <c r="H183" s="25"/>
      <c r="I183" s="25"/>
      <c r="J183" s="22"/>
      <c r="K183" s="22"/>
    </row>
    <row r="184" customFormat="false" ht="15" hidden="false" customHeight="true" outlineLevel="0" collapsed="false">
      <c r="A184" s="22" t="n">
        <v>183</v>
      </c>
      <c r="B184" s="25"/>
      <c r="C184" s="22"/>
      <c r="D184" s="22"/>
      <c r="E184" s="22"/>
      <c r="F184" s="22"/>
      <c r="G184" s="22"/>
      <c r="H184" s="25"/>
      <c r="I184" s="25"/>
      <c r="J184" s="22"/>
      <c r="K184" s="22"/>
    </row>
    <row r="185" customFormat="false" ht="15" hidden="false" customHeight="true" outlineLevel="0" collapsed="false">
      <c r="A185" s="22" t="n">
        <v>184</v>
      </c>
      <c r="B185" s="25"/>
      <c r="C185" s="22"/>
      <c r="D185" s="22"/>
      <c r="E185" s="22"/>
      <c r="F185" s="22"/>
      <c r="G185" s="22"/>
      <c r="H185" s="25"/>
      <c r="I185" s="25"/>
      <c r="J185" s="22"/>
      <c r="K185" s="22"/>
    </row>
    <row r="186" customFormat="false" ht="15" hidden="false" customHeight="true" outlineLevel="0" collapsed="false">
      <c r="A186" s="22" t="n">
        <v>185</v>
      </c>
      <c r="B186" s="25"/>
      <c r="C186" s="22"/>
      <c r="D186" s="22"/>
      <c r="E186" s="22"/>
      <c r="F186" s="22"/>
      <c r="G186" s="22"/>
      <c r="H186" s="25"/>
      <c r="I186" s="25"/>
      <c r="J186" s="22"/>
      <c r="K186" s="22"/>
    </row>
    <row r="187" customFormat="false" ht="15" hidden="false" customHeight="true" outlineLevel="0" collapsed="false">
      <c r="A187" s="22" t="n">
        <v>186</v>
      </c>
      <c r="B187" s="25"/>
      <c r="C187" s="22"/>
      <c r="D187" s="22"/>
      <c r="E187" s="22"/>
      <c r="F187" s="22"/>
      <c r="G187" s="22"/>
      <c r="H187" s="25"/>
      <c r="I187" s="25"/>
      <c r="J187" s="22"/>
      <c r="K187" s="22"/>
    </row>
    <row r="188" customFormat="false" ht="15" hidden="false" customHeight="true" outlineLevel="0" collapsed="false">
      <c r="A188" s="22" t="n">
        <v>187</v>
      </c>
      <c r="B188" s="25"/>
      <c r="C188" s="22"/>
      <c r="D188" s="22"/>
      <c r="E188" s="22"/>
      <c r="F188" s="22"/>
      <c r="G188" s="22"/>
      <c r="H188" s="25"/>
      <c r="I188" s="25"/>
      <c r="J188" s="22"/>
      <c r="K188" s="22"/>
    </row>
    <row r="189" customFormat="false" ht="15" hidden="false" customHeight="true" outlineLevel="0" collapsed="false">
      <c r="A189" s="22" t="n">
        <v>188</v>
      </c>
      <c r="B189" s="25"/>
      <c r="C189" s="22"/>
      <c r="D189" s="22"/>
      <c r="E189" s="22"/>
      <c r="F189" s="22"/>
      <c r="G189" s="22"/>
      <c r="H189" s="25"/>
      <c r="I189" s="25"/>
      <c r="J189" s="22"/>
      <c r="K189" s="22"/>
    </row>
    <row r="190" customFormat="false" ht="15" hidden="false" customHeight="true" outlineLevel="0" collapsed="false">
      <c r="A190" s="22" t="n">
        <v>189</v>
      </c>
      <c r="B190" s="25"/>
      <c r="C190" s="22"/>
      <c r="D190" s="22"/>
      <c r="E190" s="22"/>
      <c r="F190" s="22"/>
      <c r="G190" s="22"/>
      <c r="H190" s="25"/>
      <c r="I190" s="25"/>
      <c r="J190" s="22"/>
      <c r="K190" s="22"/>
    </row>
    <row r="191" customFormat="false" ht="15" hidden="false" customHeight="true" outlineLevel="0" collapsed="false">
      <c r="A191" s="22" t="n">
        <v>190</v>
      </c>
      <c r="B191" s="25"/>
      <c r="C191" s="22"/>
      <c r="D191" s="22"/>
      <c r="E191" s="22"/>
      <c r="F191" s="22"/>
      <c r="G191" s="22"/>
      <c r="H191" s="25"/>
      <c r="I191" s="25"/>
      <c r="J191" s="22"/>
      <c r="K191" s="22"/>
    </row>
    <row r="192" customFormat="false" ht="15" hidden="false" customHeight="true" outlineLevel="0" collapsed="false">
      <c r="A192" s="22" t="n">
        <v>191</v>
      </c>
      <c r="B192" s="25"/>
      <c r="C192" s="22"/>
      <c r="D192" s="22"/>
      <c r="E192" s="22"/>
      <c r="F192" s="22"/>
      <c r="G192" s="22"/>
      <c r="H192" s="25"/>
      <c r="I192" s="25"/>
      <c r="J192" s="22"/>
      <c r="K192" s="22"/>
    </row>
    <row r="193" customFormat="false" ht="15" hidden="false" customHeight="true" outlineLevel="0" collapsed="false">
      <c r="A193" s="22" t="n">
        <v>192</v>
      </c>
      <c r="B193" s="25"/>
      <c r="C193" s="22"/>
      <c r="D193" s="22"/>
      <c r="E193" s="22"/>
      <c r="F193" s="22"/>
      <c r="G193" s="22"/>
      <c r="H193" s="25"/>
      <c r="I193" s="25"/>
      <c r="J193" s="22"/>
      <c r="K193" s="22"/>
    </row>
    <row r="194" customFormat="false" ht="15" hidden="false" customHeight="true" outlineLevel="0" collapsed="false">
      <c r="A194" s="22" t="n">
        <v>193</v>
      </c>
      <c r="B194" s="25"/>
      <c r="C194" s="22"/>
      <c r="D194" s="22"/>
      <c r="E194" s="22"/>
      <c r="F194" s="22"/>
      <c r="G194" s="22"/>
      <c r="H194" s="25"/>
      <c r="I194" s="25"/>
      <c r="J194" s="22"/>
      <c r="K194" s="22"/>
    </row>
    <row r="195" customFormat="false" ht="15" hidden="false" customHeight="true" outlineLevel="0" collapsed="false">
      <c r="A195" s="22" t="n">
        <v>194</v>
      </c>
      <c r="B195" s="25"/>
      <c r="C195" s="22"/>
      <c r="D195" s="22"/>
      <c r="E195" s="22"/>
      <c r="F195" s="22"/>
      <c r="G195" s="22"/>
      <c r="H195" s="25"/>
      <c r="I195" s="25"/>
      <c r="J195" s="22"/>
      <c r="K195" s="22"/>
    </row>
    <row r="196" customFormat="false" ht="15" hidden="false" customHeight="true" outlineLevel="0" collapsed="false">
      <c r="A196" s="22" t="n">
        <v>195</v>
      </c>
      <c r="B196" s="25"/>
      <c r="C196" s="22"/>
      <c r="D196" s="22"/>
      <c r="E196" s="22"/>
      <c r="F196" s="22"/>
      <c r="G196" s="22"/>
      <c r="H196" s="25"/>
      <c r="I196" s="25"/>
      <c r="J196" s="22"/>
      <c r="K196" s="22"/>
    </row>
    <row r="197" customFormat="false" ht="15" hidden="false" customHeight="true" outlineLevel="0" collapsed="false">
      <c r="A197" s="22" t="n">
        <v>196</v>
      </c>
      <c r="B197" s="25"/>
      <c r="C197" s="22"/>
      <c r="D197" s="22"/>
      <c r="E197" s="22"/>
      <c r="F197" s="22"/>
      <c r="G197" s="22"/>
      <c r="H197" s="25"/>
      <c r="I197" s="25"/>
      <c r="J197" s="22"/>
      <c r="K197" s="22"/>
    </row>
    <row r="198" customFormat="false" ht="15" hidden="false" customHeight="true" outlineLevel="0" collapsed="false">
      <c r="A198" s="22" t="n">
        <v>197</v>
      </c>
      <c r="B198" s="25"/>
      <c r="C198" s="22"/>
      <c r="D198" s="22"/>
      <c r="E198" s="22"/>
      <c r="F198" s="22"/>
      <c r="G198" s="22"/>
      <c r="H198" s="25"/>
      <c r="I198" s="25"/>
      <c r="J198" s="22"/>
      <c r="K198" s="22"/>
    </row>
    <row r="199" customFormat="false" ht="15" hidden="false" customHeight="true" outlineLevel="0" collapsed="false">
      <c r="A199" s="22" t="n">
        <v>198</v>
      </c>
      <c r="B199" s="25"/>
      <c r="C199" s="22"/>
      <c r="D199" s="22"/>
      <c r="E199" s="22"/>
      <c r="F199" s="22"/>
      <c r="G199" s="22"/>
      <c r="H199" s="25"/>
      <c r="I199" s="25"/>
      <c r="J199" s="22"/>
      <c r="K199" s="22"/>
    </row>
    <row r="200" customFormat="false" ht="15" hidden="false" customHeight="true" outlineLevel="0" collapsed="false">
      <c r="A200" s="22" t="n">
        <v>199</v>
      </c>
      <c r="B200" s="25"/>
      <c r="C200" s="22"/>
      <c r="D200" s="22"/>
      <c r="E200" s="22"/>
      <c r="F200" s="22"/>
      <c r="G200" s="22"/>
      <c r="H200" s="25"/>
      <c r="I200" s="25"/>
      <c r="J200" s="22"/>
      <c r="K200" s="22"/>
    </row>
    <row r="201" customFormat="false" ht="15" hidden="false" customHeight="true" outlineLevel="0" collapsed="false">
      <c r="A201" s="22" t="n">
        <v>200</v>
      </c>
      <c r="B201" s="25"/>
      <c r="C201" s="22"/>
      <c r="D201" s="22"/>
      <c r="E201" s="22"/>
      <c r="F201" s="22"/>
      <c r="G201" s="22"/>
      <c r="H201" s="25"/>
      <c r="I201" s="25"/>
      <c r="J201" s="22"/>
      <c r="K201" s="22"/>
    </row>
    <row r="202" customFormat="false" ht="15" hidden="false" customHeight="true" outlineLevel="0" collapsed="false">
      <c r="A202" s="22" t="n">
        <v>201</v>
      </c>
      <c r="B202" s="25"/>
      <c r="C202" s="22"/>
      <c r="D202" s="22"/>
      <c r="E202" s="22"/>
      <c r="F202" s="22"/>
      <c r="G202" s="22"/>
      <c r="H202" s="25"/>
      <c r="I202" s="25"/>
      <c r="J202" s="22"/>
      <c r="K202" s="22"/>
    </row>
    <row r="203" customFormat="false" ht="15" hidden="false" customHeight="true" outlineLevel="0" collapsed="false">
      <c r="A203" s="22" t="n">
        <v>202</v>
      </c>
      <c r="B203" s="25"/>
      <c r="C203" s="22"/>
      <c r="D203" s="22"/>
      <c r="E203" s="22"/>
      <c r="F203" s="22"/>
      <c r="G203" s="22"/>
      <c r="H203" s="25"/>
      <c r="I203" s="25"/>
      <c r="J203" s="22"/>
      <c r="K203" s="22"/>
    </row>
    <row r="204" customFormat="false" ht="15" hidden="false" customHeight="true" outlineLevel="0" collapsed="false">
      <c r="A204" s="22" t="n">
        <v>203</v>
      </c>
      <c r="B204" s="25"/>
      <c r="C204" s="22"/>
      <c r="D204" s="22"/>
      <c r="E204" s="22"/>
      <c r="F204" s="22"/>
      <c r="G204" s="22"/>
      <c r="H204" s="25"/>
      <c r="I204" s="25"/>
      <c r="J204" s="22"/>
      <c r="K204" s="22"/>
    </row>
    <row r="205" customFormat="false" ht="15" hidden="false" customHeight="true" outlineLevel="0" collapsed="false">
      <c r="A205" s="22" t="n">
        <v>204</v>
      </c>
      <c r="B205" s="25"/>
      <c r="C205" s="22"/>
      <c r="D205" s="22"/>
      <c r="E205" s="22"/>
      <c r="F205" s="22"/>
      <c r="G205" s="22"/>
      <c r="H205" s="25"/>
      <c r="I205" s="25"/>
      <c r="J205" s="22"/>
      <c r="K205" s="22"/>
    </row>
    <row r="206" customFormat="false" ht="15" hidden="false" customHeight="true" outlineLevel="0" collapsed="false">
      <c r="A206" s="22" t="n">
        <v>205</v>
      </c>
      <c r="B206" s="25"/>
      <c r="C206" s="22"/>
      <c r="D206" s="22"/>
      <c r="E206" s="22"/>
      <c r="F206" s="22"/>
      <c r="G206" s="22"/>
      <c r="H206" s="25"/>
      <c r="I206" s="25"/>
      <c r="J206" s="22"/>
      <c r="K206" s="22"/>
    </row>
    <row r="207" customFormat="false" ht="15" hidden="false" customHeight="true" outlineLevel="0" collapsed="false">
      <c r="A207" s="22" t="n">
        <v>206</v>
      </c>
      <c r="B207" s="25"/>
      <c r="C207" s="22"/>
      <c r="D207" s="22"/>
      <c r="E207" s="22"/>
      <c r="F207" s="22"/>
      <c r="G207" s="22"/>
      <c r="H207" s="25"/>
      <c r="I207" s="25"/>
      <c r="J207" s="22"/>
      <c r="K207" s="22"/>
    </row>
    <row r="208" customFormat="false" ht="15" hidden="false" customHeight="true" outlineLevel="0" collapsed="false">
      <c r="A208" s="22" t="n">
        <v>207</v>
      </c>
      <c r="B208" s="25"/>
      <c r="C208" s="22"/>
      <c r="D208" s="22"/>
      <c r="E208" s="22"/>
      <c r="F208" s="22"/>
      <c r="G208" s="22"/>
      <c r="H208" s="25"/>
      <c r="I208" s="25"/>
      <c r="J208" s="22"/>
      <c r="K208" s="22"/>
    </row>
    <row r="209" customFormat="false" ht="15" hidden="false" customHeight="true" outlineLevel="0" collapsed="false">
      <c r="A209" s="22" t="n">
        <v>208</v>
      </c>
      <c r="B209" s="25"/>
      <c r="C209" s="22"/>
      <c r="D209" s="22"/>
      <c r="E209" s="22"/>
      <c r="F209" s="22"/>
      <c r="G209" s="22"/>
      <c r="H209" s="25"/>
      <c r="I209" s="25"/>
      <c r="J209" s="22"/>
      <c r="K209" s="22"/>
    </row>
    <row r="210" customFormat="false" ht="15" hidden="false" customHeight="true" outlineLevel="0" collapsed="false">
      <c r="A210" s="22" t="n">
        <v>209</v>
      </c>
      <c r="B210" s="25"/>
      <c r="C210" s="22"/>
      <c r="D210" s="22"/>
      <c r="E210" s="22"/>
      <c r="F210" s="22"/>
      <c r="G210" s="22"/>
      <c r="H210" s="25"/>
      <c r="I210" s="25"/>
      <c r="J210" s="22"/>
      <c r="K210" s="22"/>
    </row>
    <row r="211" customFormat="false" ht="15" hidden="false" customHeight="true" outlineLevel="0" collapsed="false">
      <c r="A211" s="22" t="n">
        <v>210</v>
      </c>
      <c r="B211" s="25"/>
      <c r="C211" s="22"/>
      <c r="D211" s="22"/>
      <c r="E211" s="22"/>
      <c r="F211" s="22"/>
      <c r="G211" s="22"/>
      <c r="H211" s="25"/>
      <c r="I211" s="25"/>
      <c r="J211" s="22"/>
      <c r="K211" s="22"/>
    </row>
    <row r="212" customFormat="false" ht="15" hidden="false" customHeight="true" outlineLevel="0" collapsed="false">
      <c r="A212" s="22" t="n">
        <v>211</v>
      </c>
      <c r="B212" s="25"/>
      <c r="C212" s="22"/>
      <c r="D212" s="22"/>
      <c r="E212" s="22"/>
      <c r="F212" s="22"/>
      <c r="G212" s="22"/>
      <c r="H212" s="25"/>
      <c r="I212" s="25"/>
      <c r="J212" s="22"/>
      <c r="K212" s="22"/>
    </row>
    <row r="213" customFormat="false" ht="15" hidden="false" customHeight="true" outlineLevel="0" collapsed="false">
      <c r="A213" s="22" t="n">
        <v>212</v>
      </c>
      <c r="B213" s="25"/>
      <c r="C213" s="22"/>
      <c r="D213" s="22"/>
      <c r="E213" s="22"/>
      <c r="F213" s="22"/>
      <c r="G213" s="22"/>
      <c r="H213" s="25"/>
      <c r="I213" s="25"/>
      <c r="J213" s="22"/>
      <c r="K213" s="22"/>
    </row>
    <row r="214" customFormat="false" ht="15" hidden="false" customHeight="true" outlineLevel="0" collapsed="false">
      <c r="A214" s="22" t="n">
        <v>213</v>
      </c>
      <c r="B214" s="25"/>
      <c r="C214" s="22"/>
      <c r="D214" s="22"/>
      <c r="E214" s="22"/>
      <c r="F214" s="22"/>
      <c r="G214" s="22"/>
      <c r="H214" s="25"/>
      <c r="I214" s="25"/>
      <c r="J214" s="22"/>
      <c r="K214" s="22"/>
    </row>
    <row r="215" customFormat="false" ht="15" hidden="false" customHeight="true" outlineLevel="0" collapsed="false">
      <c r="A215" s="22" t="n">
        <v>214</v>
      </c>
      <c r="B215" s="25"/>
      <c r="C215" s="22"/>
      <c r="D215" s="22"/>
      <c r="E215" s="22"/>
      <c r="F215" s="22"/>
      <c r="G215" s="22"/>
      <c r="H215" s="25"/>
      <c r="I215" s="25"/>
      <c r="J215" s="22"/>
      <c r="K215" s="22"/>
    </row>
    <row r="216" customFormat="false" ht="15" hidden="false" customHeight="true" outlineLevel="0" collapsed="false">
      <c r="A216" s="22" t="n">
        <v>215</v>
      </c>
      <c r="B216" s="25"/>
      <c r="C216" s="22"/>
      <c r="D216" s="22"/>
      <c r="E216" s="22"/>
      <c r="F216" s="22"/>
      <c r="G216" s="22"/>
      <c r="H216" s="25"/>
      <c r="I216" s="25"/>
      <c r="J216" s="22"/>
      <c r="K216" s="22"/>
    </row>
    <row r="217" customFormat="false" ht="15" hidden="false" customHeight="true" outlineLevel="0" collapsed="false">
      <c r="A217" s="22" t="n">
        <v>216</v>
      </c>
      <c r="B217" s="25"/>
      <c r="C217" s="22"/>
      <c r="D217" s="22"/>
      <c r="E217" s="22"/>
      <c r="F217" s="22"/>
      <c r="G217" s="22"/>
      <c r="H217" s="25"/>
      <c r="I217" s="25"/>
      <c r="J217" s="22"/>
      <c r="K217" s="22"/>
    </row>
    <row r="218" customFormat="false" ht="15" hidden="false" customHeight="true" outlineLevel="0" collapsed="false">
      <c r="A218" s="22" t="n">
        <v>217</v>
      </c>
      <c r="B218" s="25"/>
      <c r="C218" s="22"/>
      <c r="D218" s="22"/>
      <c r="E218" s="22"/>
      <c r="F218" s="22"/>
      <c r="G218" s="22"/>
      <c r="H218" s="25"/>
      <c r="I218" s="25"/>
      <c r="J218" s="22"/>
      <c r="K218" s="22"/>
    </row>
    <row r="219" customFormat="false" ht="15" hidden="false" customHeight="true" outlineLevel="0" collapsed="false">
      <c r="A219" s="22" t="n">
        <v>218</v>
      </c>
      <c r="B219" s="25"/>
      <c r="C219" s="22"/>
      <c r="D219" s="22"/>
      <c r="E219" s="22"/>
      <c r="F219" s="22"/>
      <c r="G219" s="22"/>
      <c r="H219" s="25"/>
      <c r="I219" s="25"/>
      <c r="J219" s="22"/>
      <c r="K219" s="22"/>
    </row>
    <row r="220" customFormat="false" ht="15" hidden="false" customHeight="true" outlineLevel="0" collapsed="false">
      <c r="A220" s="22" t="n">
        <v>219</v>
      </c>
      <c r="B220" s="25"/>
      <c r="C220" s="22"/>
      <c r="D220" s="22"/>
      <c r="E220" s="22"/>
      <c r="F220" s="22"/>
      <c r="G220" s="22"/>
      <c r="H220" s="25"/>
      <c r="I220" s="25"/>
      <c r="J220" s="22"/>
      <c r="K220" s="22"/>
    </row>
    <row r="221" customFormat="false" ht="15" hidden="false" customHeight="true" outlineLevel="0" collapsed="false">
      <c r="A221" s="22" t="n">
        <v>220</v>
      </c>
      <c r="B221" s="25"/>
      <c r="C221" s="22"/>
      <c r="D221" s="22"/>
      <c r="E221" s="22"/>
      <c r="F221" s="22"/>
      <c r="G221" s="22"/>
      <c r="H221" s="25"/>
      <c r="I221" s="25"/>
      <c r="J221" s="22"/>
      <c r="K221" s="22"/>
    </row>
    <row r="222" customFormat="false" ht="15" hidden="false" customHeight="true" outlineLevel="0" collapsed="false">
      <c r="A222" s="22" t="n">
        <v>221</v>
      </c>
      <c r="B222" s="25"/>
      <c r="C222" s="22"/>
      <c r="D222" s="22"/>
      <c r="E222" s="22"/>
      <c r="F222" s="22"/>
      <c r="G222" s="22"/>
      <c r="H222" s="25"/>
      <c r="I222" s="25"/>
      <c r="J222" s="22"/>
      <c r="K222" s="22"/>
    </row>
    <row r="223" customFormat="false" ht="15" hidden="false" customHeight="true" outlineLevel="0" collapsed="false">
      <c r="A223" s="22" t="n">
        <v>222</v>
      </c>
      <c r="B223" s="25"/>
      <c r="C223" s="22"/>
      <c r="D223" s="22"/>
      <c r="E223" s="22"/>
      <c r="F223" s="22"/>
      <c r="G223" s="22"/>
      <c r="H223" s="25"/>
      <c r="I223" s="25"/>
      <c r="J223" s="22"/>
      <c r="K223" s="22"/>
    </row>
    <row r="224" customFormat="false" ht="15" hidden="false" customHeight="true" outlineLevel="0" collapsed="false">
      <c r="A224" s="22" t="n">
        <v>223</v>
      </c>
      <c r="B224" s="25"/>
      <c r="C224" s="22"/>
      <c r="D224" s="22"/>
      <c r="E224" s="22"/>
      <c r="F224" s="22"/>
      <c r="G224" s="22"/>
      <c r="H224" s="25"/>
      <c r="I224" s="25"/>
      <c r="J224" s="22"/>
      <c r="K224" s="22"/>
    </row>
    <row r="225" customFormat="false" ht="15" hidden="false" customHeight="true" outlineLevel="0" collapsed="false">
      <c r="A225" s="22" t="n">
        <v>224</v>
      </c>
      <c r="B225" s="25"/>
      <c r="C225" s="22"/>
      <c r="D225" s="22"/>
      <c r="E225" s="22"/>
      <c r="F225" s="22"/>
      <c r="G225" s="22"/>
      <c r="H225" s="25"/>
      <c r="I225" s="25"/>
      <c r="J225" s="22"/>
      <c r="K225" s="22"/>
    </row>
    <row r="226" customFormat="false" ht="15" hidden="false" customHeight="true" outlineLevel="0" collapsed="false">
      <c r="A226" s="22" t="n">
        <v>225</v>
      </c>
      <c r="B226" s="25"/>
      <c r="C226" s="22"/>
      <c r="D226" s="22"/>
      <c r="E226" s="22"/>
      <c r="F226" s="22"/>
      <c r="G226" s="22"/>
      <c r="H226" s="25"/>
      <c r="I226" s="25"/>
      <c r="J226" s="22"/>
      <c r="K226" s="22"/>
    </row>
    <row r="227" customFormat="false" ht="15" hidden="false" customHeight="true" outlineLevel="0" collapsed="false">
      <c r="A227" s="22" t="n">
        <v>226</v>
      </c>
      <c r="B227" s="25"/>
      <c r="C227" s="22"/>
      <c r="D227" s="22"/>
      <c r="E227" s="22"/>
      <c r="F227" s="22"/>
      <c r="G227" s="22"/>
      <c r="H227" s="25"/>
      <c r="I227" s="25"/>
      <c r="J227" s="22"/>
      <c r="K227" s="22"/>
    </row>
    <row r="228" customFormat="false" ht="15" hidden="false" customHeight="true" outlineLevel="0" collapsed="false">
      <c r="A228" s="22" t="n">
        <v>227</v>
      </c>
      <c r="B228" s="25"/>
      <c r="C228" s="22"/>
      <c r="D228" s="22"/>
      <c r="E228" s="22"/>
      <c r="F228" s="22"/>
      <c r="G228" s="22"/>
      <c r="H228" s="25"/>
      <c r="I228" s="25"/>
      <c r="J228" s="22"/>
      <c r="K228" s="22"/>
    </row>
    <row r="229" customFormat="false" ht="15" hidden="false" customHeight="true" outlineLevel="0" collapsed="false">
      <c r="A229" s="22" t="n">
        <v>228</v>
      </c>
      <c r="B229" s="25"/>
      <c r="C229" s="22"/>
      <c r="D229" s="22"/>
      <c r="E229" s="22"/>
      <c r="F229" s="22"/>
      <c r="G229" s="22"/>
      <c r="H229" s="25"/>
      <c r="I229" s="25"/>
      <c r="J229" s="22"/>
      <c r="K229" s="22"/>
    </row>
    <row r="230" customFormat="false" ht="15" hidden="false" customHeight="true" outlineLevel="0" collapsed="false">
      <c r="A230" s="22" t="n">
        <v>229</v>
      </c>
      <c r="B230" s="25"/>
      <c r="C230" s="22"/>
      <c r="D230" s="22"/>
      <c r="E230" s="22"/>
      <c r="F230" s="22"/>
      <c r="G230" s="22"/>
      <c r="H230" s="25"/>
      <c r="I230" s="25"/>
      <c r="J230" s="22"/>
      <c r="K230" s="22"/>
    </row>
    <row r="231" customFormat="false" ht="15" hidden="false" customHeight="true" outlineLevel="0" collapsed="false">
      <c r="A231" s="22" t="n">
        <v>230</v>
      </c>
      <c r="B231" s="25"/>
      <c r="C231" s="22"/>
      <c r="D231" s="22"/>
      <c r="E231" s="22"/>
      <c r="F231" s="22"/>
      <c r="G231" s="22"/>
      <c r="H231" s="25"/>
      <c r="I231" s="25"/>
      <c r="J231" s="22"/>
      <c r="K231" s="22"/>
    </row>
    <row r="232" customFormat="false" ht="15" hidden="false" customHeight="true" outlineLevel="0" collapsed="false">
      <c r="A232" s="22" t="n">
        <v>231</v>
      </c>
      <c r="B232" s="25"/>
      <c r="C232" s="22"/>
      <c r="D232" s="22"/>
      <c r="E232" s="22"/>
      <c r="F232" s="22"/>
      <c r="G232" s="22"/>
      <c r="H232" s="25"/>
      <c r="I232" s="25"/>
      <c r="J232" s="22"/>
      <c r="K232" s="22"/>
    </row>
    <row r="233" customFormat="false" ht="15" hidden="false" customHeight="true" outlineLevel="0" collapsed="false">
      <c r="A233" s="22" t="n">
        <v>232</v>
      </c>
      <c r="B233" s="25"/>
      <c r="C233" s="22"/>
      <c r="D233" s="22"/>
      <c r="E233" s="22"/>
      <c r="F233" s="22"/>
      <c r="G233" s="22"/>
      <c r="H233" s="25"/>
      <c r="I233" s="25"/>
      <c r="J233" s="22"/>
      <c r="K233" s="22"/>
    </row>
    <row r="234" customFormat="false" ht="15" hidden="false" customHeight="true" outlineLevel="0" collapsed="false">
      <c r="A234" s="22" t="n">
        <v>233</v>
      </c>
      <c r="B234" s="25"/>
      <c r="C234" s="22"/>
      <c r="D234" s="22"/>
      <c r="E234" s="22"/>
      <c r="F234" s="22"/>
      <c r="G234" s="22"/>
      <c r="H234" s="25"/>
      <c r="I234" s="25"/>
      <c r="J234" s="22"/>
      <c r="K234" s="22"/>
    </row>
    <row r="235" customFormat="false" ht="15" hidden="false" customHeight="true" outlineLevel="0" collapsed="false">
      <c r="A235" s="22" t="n">
        <v>234</v>
      </c>
      <c r="B235" s="25"/>
      <c r="C235" s="22"/>
      <c r="D235" s="22"/>
      <c r="E235" s="22"/>
      <c r="F235" s="22"/>
      <c r="G235" s="22"/>
      <c r="H235" s="25"/>
      <c r="I235" s="25"/>
      <c r="J235" s="22"/>
      <c r="K235" s="22"/>
    </row>
    <row r="236" customFormat="false" ht="15" hidden="false" customHeight="true" outlineLevel="0" collapsed="false">
      <c r="A236" s="22" t="n">
        <v>235</v>
      </c>
      <c r="B236" s="25"/>
      <c r="C236" s="22"/>
      <c r="D236" s="22"/>
      <c r="E236" s="22"/>
      <c r="F236" s="22"/>
      <c r="G236" s="22"/>
      <c r="H236" s="25"/>
      <c r="I236" s="25"/>
      <c r="J236" s="22"/>
      <c r="K236" s="22"/>
    </row>
    <row r="237" customFormat="false" ht="15" hidden="false" customHeight="true" outlineLevel="0" collapsed="false">
      <c r="A237" s="22" t="n">
        <v>236</v>
      </c>
      <c r="B237" s="25"/>
      <c r="C237" s="22"/>
      <c r="D237" s="22"/>
      <c r="E237" s="22"/>
      <c r="F237" s="22"/>
      <c r="G237" s="22"/>
      <c r="H237" s="25"/>
      <c r="I237" s="25"/>
      <c r="J237" s="22"/>
      <c r="K237" s="22"/>
    </row>
    <row r="238" customFormat="false" ht="15" hidden="false" customHeight="true" outlineLevel="0" collapsed="false">
      <c r="A238" s="22" t="n">
        <v>237</v>
      </c>
      <c r="B238" s="25"/>
      <c r="C238" s="22"/>
      <c r="D238" s="22"/>
      <c r="E238" s="22"/>
      <c r="F238" s="22"/>
      <c r="G238" s="22"/>
      <c r="H238" s="25"/>
      <c r="I238" s="25"/>
      <c r="J238" s="22"/>
      <c r="K238" s="22"/>
    </row>
    <row r="239" customFormat="false" ht="15" hidden="false" customHeight="true" outlineLevel="0" collapsed="false">
      <c r="A239" s="22" t="n">
        <v>238</v>
      </c>
      <c r="B239" s="25"/>
      <c r="C239" s="22"/>
      <c r="D239" s="22"/>
      <c r="E239" s="22"/>
      <c r="F239" s="22"/>
      <c r="G239" s="22"/>
      <c r="H239" s="25"/>
      <c r="I239" s="25"/>
      <c r="J239" s="22"/>
      <c r="K239" s="22"/>
    </row>
    <row r="240" customFormat="false" ht="15" hidden="false" customHeight="true" outlineLevel="0" collapsed="false">
      <c r="A240" s="22" t="n">
        <v>239</v>
      </c>
      <c r="B240" s="25"/>
      <c r="C240" s="22"/>
      <c r="D240" s="22"/>
      <c r="E240" s="22"/>
      <c r="F240" s="22"/>
      <c r="G240" s="22"/>
      <c r="H240" s="25"/>
      <c r="I240" s="25"/>
      <c r="J240" s="22"/>
      <c r="K240" s="22"/>
    </row>
    <row r="241" customFormat="false" ht="15" hidden="false" customHeight="true" outlineLevel="0" collapsed="false">
      <c r="A241" s="22" t="n">
        <v>240</v>
      </c>
      <c r="B241" s="25"/>
      <c r="C241" s="22"/>
      <c r="D241" s="22"/>
      <c r="E241" s="22"/>
      <c r="F241" s="22"/>
      <c r="G241" s="22"/>
      <c r="H241" s="25"/>
      <c r="I241" s="25"/>
      <c r="J241" s="22"/>
      <c r="K241" s="22"/>
    </row>
    <row r="242" customFormat="false" ht="15" hidden="false" customHeight="true" outlineLevel="0" collapsed="false">
      <c r="A242" s="22" t="n">
        <v>241</v>
      </c>
      <c r="B242" s="25"/>
      <c r="C242" s="22"/>
      <c r="D242" s="22"/>
      <c r="E242" s="22"/>
      <c r="F242" s="22"/>
      <c r="G242" s="22"/>
      <c r="H242" s="25"/>
      <c r="I242" s="25"/>
      <c r="J242" s="22"/>
      <c r="K242" s="22"/>
    </row>
    <row r="243" customFormat="false" ht="15" hidden="false" customHeight="true" outlineLevel="0" collapsed="false">
      <c r="A243" s="22" t="n">
        <v>242</v>
      </c>
      <c r="B243" s="25"/>
      <c r="C243" s="22"/>
      <c r="D243" s="22"/>
      <c r="E243" s="22"/>
      <c r="F243" s="22"/>
      <c r="G243" s="22"/>
      <c r="H243" s="25"/>
      <c r="I243" s="25"/>
      <c r="J243" s="22"/>
      <c r="K243" s="22"/>
    </row>
    <row r="244" customFormat="false" ht="15" hidden="false" customHeight="true" outlineLevel="0" collapsed="false">
      <c r="A244" s="22" t="n">
        <v>243</v>
      </c>
      <c r="B244" s="25"/>
      <c r="C244" s="22"/>
      <c r="D244" s="22"/>
      <c r="E244" s="22"/>
      <c r="F244" s="22"/>
      <c r="G244" s="22"/>
      <c r="H244" s="25"/>
      <c r="I244" s="25"/>
      <c r="J244" s="22"/>
      <c r="K244" s="22"/>
    </row>
    <row r="245" customFormat="false" ht="15" hidden="false" customHeight="true" outlineLevel="0" collapsed="false">
      <c r="A245" s="22" t="n">
        <v>244</v>
      </c>
      <c r="B245" s="25"/>
      <c r="C245" s="22"/>
      <c r="D245" s="22"/>
      <c r="E245" s="22"/>
      <c r="F245" s="22"/>
      <c r="G245" s="22"/>
      <c r="H245" s="25"/>
      <c r="I245" s="25"/>
      <c r="J245" s="22"/>
      <c r="K245" s="22"/>
    </row>
    <row r="246" customFormat="false" ht="15" hidden="false" customHeight="true" outlineLevel="0" collapsed="false">
      <c r="A246" s="22" t="n">
        <v>245</v>
      </c>
      <c r="B246" s="25"/>
      <c r="C246" s="22"/>
      <c r="D246" s="22"/>
      <c r="E246" s="22"/>
      <c r="F246" s="22"/>
      <c r="G246" s="22"/>
      <c r="H246" s="25"/>
      <c r="I246" s="25"/>
      <c r="J246" s="22"/>
      <c r="K246" s="22"/>
    </row>
    <row r="247" customFormat="false" ht="15" hidden="false" customHeight="true" outlineLevel="0" collapsed="false">
      <c r="A247" s="22" t="n">
        <v>246</v>
      </c>
      <c r="B247" s="25"/>
      <c r="C247" s="22"/>
      <c r="D247" s="22"/>
      <c r="E247" s="22"/>
      <c r="F247" s="22"/>
      <c r="G247" s="22"/>
      <c r="H247" s="25"/>
      <c r="I247" s="25"/>
      <c r="J247" s="22"/>
      <c r="K247" s="22"/>
    </row>
    <row r="248" customFormat="false" ht="15" hidden="false" customHeight="true" outlineLevel="0" collapsed="false">
      <c r="A248" s="22" t="n">
        <v>247</v>
      </c>
      <c r="B248" s="25"/>
      <c r="C248" s="22"/>
      <c r="D248" s="22"/>
      <c r="E248" s="22"/>
      <c r="F248" s="22"/>
      <c r="G248" s="22"/>
      <c r="H248" s="25"/>
      <c r="I248" s="25"/>
      <c r="J248" s="22"/>
      <c r="K248" s="22"/>
    </row>
    <row r="249" customFormat="false" ht="15" hidden="false" customHeight="true" outlineLevel="0" collapsed="false">
      <c r="A249" s="22" t="n">
        <v>248</v>
      </c>
      <c r="B249" s="25"/>
      <c r="C249" s="22"/>
      <c r="D249" s="22"/>
      <c r="E249" s="22"/>
      <c r="F249" s="22"/>
      <c r="G249" s="22"/>
      <c r="H249" s="25"/>
      <c r="I249" s="25"/>
      <c r="J249" s="22"/>
      <c r="K249" s="22"/>
    </row>
    <row r="250" customFormat="false" ht="15" hidden="false" customHeight="true" outlineLevel="0" collapsed="false">
      <c r="A250" s="22" t="n">
        <v>249</v>
      </c>
      <c r="B250" s="25"/>
      <c r="C250" s="22"/>
      <c r="D250" s="22"/>
      <c r="E250" s="22"/>
      <c r="F250" s="22"/>
      <c r="G250" s="22"/>
      <c r="H250" s="25"/>
      <c r="I250" s="25"/>
      <c r="J250" s="22"/>
      <c r="K250" s="22"/>
    </row>
    <row r="251" customFormat="false" ht="15" hidden="false" customHeight="true" outlineLevel="0" collapsed="false">
      <c r="A251" s="22" t="n">
        <v>250</v>
      </c>
      <c r="B251" s="25"/>
      <c r="C251" s="22"/>
      <c r="D251" s="22"/>
      <c r="E251" s="22"/>
      <c r="F251" s="22"/>
      <c r="G251" s="22"/>
      <c r="H251" s="25"/>
      <c r="I251" s="25"/>
      <c r="J251" s="22"/>
      <c r="K251" s="22"/>
    </row>
    <row r="252" customFormat="false" ht="15" hidden="false" customHeight="true" outlineLevel="0" collapsed="false">
      <c r="A252" s="22" t="n">
        <v>251</v>
      </c>
      <c r="B252" s="25"/>
      <c r="C252" s="22"/>
      <c r="D252" s="22"/>
      <c r="E252" s="22"/>
      <c r="F252" s="22"/>
      <c r="G252" s="22"/>
      <c r="H252" s="25"/>
      <c r="I252" s="25"/>
      <c r="J252" s="22"/>
      <c r="K252" s="22"/>
    </row>
    <row r="253" customFormat="false" ht="15" hidden="false" customHeight="true" outlineLevel="0" collapsed="false">
      <c r="A253" s="22" t="n">
        <v>252</v>
      </c>
      <c r="B253" s="25"/>
      <c r="C253" s="22"/>
      <c r="D253" s="22"/>
      <c r="E253" s="22"/>
      <c r="F253" s="22"/>
      <c r="G253" s="22"/>
      <c r="H253" s="25"/>
      <c r="I253" s="25"/>
      <c r="J253" s="22"/>
      <c r="K253" s="22"/>
    </row>
    <row r="254" customFormat="false" ht="15" hidden="false" customHeight="true" outlineLevel="0" collapsed="false">
      <c r="A254" s="22" t="n">
        <v>253</v>
      </c>
      <c r="B254" s="25"/>
      <c r="C254" s="22"/>
      <c r="D254" s="22"/>
      <c r="E254" s="22"/>
      <c r="F254" s="22"/>
      <c r="G254" s="22"/>
      <c r="H254" s="25"/>
      <c r="I254" s="25"/>
      <c r="J254" s="22"/>
      <c r="K254" s="22"/>
    </row>
    <row r="255" customFormat="false" ht="15" hidden="false" customHeight="true" outlineLevel="0" collapsed="false">
      <c r="A255" s="22" t="n">
        <v>254</v>
      </c>
      <c r="B255" s="25"/>
      <c r="C255" s="22"/>
      <c r="D255" s="22"/>
      <c r="E255" s="22"/>
      <c r="F255" s="22"/>
      <c r="G255" s="22"/>
      <c r="H255" s="25"/>
      <c r="I255" s="25"/>
      <c r="J255" s="22"/>
      <c r="K255" s="22"/>
    </row>
    <row r="256" customFormat="false" ht="15" hidden="false" customHeight="true" outlineLevel="0" collapsed="false">
      <c r="A256" s="22" t="n">
        <v>255</v>
      </c>
      <c r="B256" s="25"/>
      <c r="C256" s="22"/>
      <c r="D256" s="22"/>
      <c r="E256" s="22"/>
      <c r="F256" s="22"/>
      <c r="G256" s="22"/>
      <c r="H256" s="25"/>
      <c r="I256" s="25"/>
      <c r="J256" s="22"/>
      <c r="K256" s="22"/>
    </row>
    <row r="257" customFormat="false" ht="15" hidden="false" customHeight="true" outlineLevel="0" collapsed="false">
      <c r="A257" s="22" t="n">
        <v>256</v>
      </c>
      <c r="B257" s="25"/>
      <c r="C257" s="22"/>
      <c r="D257" s="22"/>
      <c r="E257" s="22"/>
      <c r="F257" s="22"/>
      <c r="G257" s="22"/>
      <c r="H257" s="25"/>
      <c r="I257" s="25"/>
      <c r="J257" s="22"/>
      <c r="K257" s="22"/>
    </row>
    <row r="258" customFormat="false" ht="15" hidden="false" customHeight="true" outlineLevel="0" collapsed="false">
      <c r="A258" s="22" t="n">
        <v>257</v>
      </c>
      <c r="B258" s="25"/>
      <c r="C258" s="22"/>
      <c r="D258" s="22"/>
      <c r="E258" s="22"/>
      <c r="F258" s="22"/>
      <c r="G258" s="22"/>
      <c r="H258" s="25"/>
      <c r="I258" s="25"/>
      <c r="J258" s="22"/>
      <c r="K258" s="22"/>
    </row>
    <row r="259" customFormat="false" ht="15" hidden="false" customHeight="true" outlineLevel="0" collapsed="false">
      <c r="A259" s="22" t="n">
        <v>258</v>
      </c>
      <c r="B259" s="25"/>
      <c r="C259" s="22"/>
      <c r="D259" s="22"/>
      <c r="E259" s="22"/>
      <c r="F259" s="22"/>
      <c r="G259" s="22"/>
      <c r="H259" s="25"/>
      <c r="I259" s="25"/>
      <c r="J259" s="22"/>
      <c r="K259" s="22"/>
    </row>
    <row r="260" customFormat="false" ht="15" hidden="false" customHeight="true" outlineLevel="0" collapsed="false">
      <c r="A260" s="22" t="n">
        <v>259</v>
      </c>
      <c r="B260" s="25"/>
      <c r="C260" s="22"/>
      <c r="D260" s="22"/>
      <c r="E260" s="22"/>
      <c r="F260" s="22"/>
      <c r="G260" s="22"/>
      <c r="H260" s="25"/>
      <c r="I260" s="25"/>
      <c r="J260" s="22"/>
      <c r="K260" s="22"/>
    </row>
    <row r="261" customFormat="false" ht="15" hidden="false" customHeight="true" outlineLevel="0" collapsed="false">
      <c r="A261" s="22" t="n">
        <v>260</v>
      </c>
      <c r="B261" s="25"/>
      <c r="C261" s="22"/>
      <c r="D261" s="22"/>
      <c r="E261" s="22"/>
      <c r="F261" s="22"/>
      <c r="G261" s="22"/>
      <c r="H261" s="25"/>
      <c r="I261" s="25"/>
      <c r="J261" s="22"/>
      <c r="K261" s="22"/>
    </row>
    <row r="262" customFormat="false" ht="15" hidden="false" customHeight="true" outlineLevel="0" collapsed="false">
      <c r="A262" s="22" t="n">
        <v>261</v>
      </c>
      <c r="B262" s="25"/>
      <c r="C262" s="22"/>
      <c r="D262" s="22"/>
      <c r="E262" s="22"/>
      <c r="F262" s="22"/>
      <c r="G262" s="22"/>
      <c r="H262" s="25"/>
      <c r="I262" s="25"/>
      <c r="J262" s="22"/>
      <c r="K262" s="22"/>
    </row>
    <row r="263" customFormat="false" ht="15" hidden="false" customHeight="true" outlineLevel="0" collapsed="false">
      <c r="A263" s="22" t="n">
        <v>262</v>
      </c>
      <c r="B263" s="25"/>
      <c r="C263" s="22"/>
      <c r="D263" s="22"/>
      <c r="E263" s="22"/>
      <c r="F263" s="22"/>
      <c r="G263" s="22"/>
      <c r="H263" s="25"/>
      <c r="I263" s="25"/>
      <c r="J263" s="22"/>
      <c r="K263" s="22"/>
    </row>
    <row r="264" customFormat="false" ht="15" hidden="false" customHeight="true" outlineLevel="0" collapsed="false">
      <c r="A264" s="22" t="n">
        <v>263</v>
      </c>
      <c r="B264" s="25"/>
      <c r="C264" s="22"/>
      <c r="D264" s="22"/>
      <c r="E264" s="22"/>
      <c r="F264" s="22"/>
      <c r="G264" s="22"/>
      <c r="H264" s="25"/>
      <c r="I264" s="25"/>
      <c r="J264" s="22"/>
      <c r="K264" s="22"/>
    </row>
    <row r="265" customFormat="false" ht="15" hidden="false" customHeight="true" outlineLevel="0" collapsed="false">
      <c r="A265" s="22" t="n">
        <v>264</v>
      </c>
      <c r="B265" s="25"/>
      <c r="C265" s="22"/>
      <c r="D265" s="22"/>
      <c r="E265" s="22"/>
      <c r="F265" s="22"/>
      <c r="G265" s="22"/>
      <c r="H265" s="25"/>
      <c r="I265" s="25"/>
      <c r="J265" s="22"/>
      <c r="K265" s="22"/>
    </row>
    <row r="266" customFormat="false" ht="15" hidden="false" customHeight="true" outlineLevel="0" collapsed="false">
      <c r="A266" s="22" t="n">
        <v>265</v>
      </c>
      <c r="B266" s="25"/>
      <c r="C266" s="22"/>
      <c r="D266" s="22"/>
      <c r="E266" s="22"/>
      <c r="F266" s="22"/>
      <c r="G266" s="22"/>
      <c r="H266" s="25"/>
      <c r="I266" s="25"/>
      <c r="J266" s="22"/>
      <c r="K266" s="22"/>
    </row>
    <row r="267" customFormat="false" ht="15" hidden="false" customHeight="true" outlineLevel="0" collapsed="false">
      <c r="A267" s="22" t="n">
        <v>266</v>
      </c>
      <c r="B267" s="25"/>
      <c r="C267" s="22"/>
      <c r="D267" s="22"/>
      <c r="E267" s="22"/>
      <c r="F267" s="22"/>
      <c r="G267" s="22"/>
      <c r="H267" s="25"/>
      <c r="I267" s="25"/>
      <c r="J267" s="22"/>
      <c r="K267" s="22"/>
    </row>
    <row r="268" customFormat="false" ht="15" hidden="false" customHeight="true" outlineLevel="0" collapsed="false">
      <c r="A268" s="22" t="n">
        <v>267</v>
      </c>
      <c r="B268" s="25"/>
      <c r="C268" s="22"/>
      <c r="D268" s="22"/>
      <c r="E268" s="22"/>
      <c r="F268" s="22"/>
      <c r="G268" s="22"/>
      <c r="H268" s="25"/>
      <c r="I268" s="25"/>
      <c r="J268" s="22"/>
      <c r="K268" s="22"/>
    </row>
    <row r="269" customFormat="false" ht="15" hidden="false" customHeight="true" outlineLevel="0" collapsed="false">
      <c r="A269" s="22" t="n">
        <v>268</v>
      </c>
      <c r="B269" s="25"/>
      <c r="C269" s="22"/>
      <c r="D269" s="22"/>
      <c r="E269" s="22"/>
      <c r="F269" s="22"/>
      <c r="G269" s="22"/>
      <c r="H269" s="25"/>
      <c r="I269" s="25"/>
      <c r="J269" s="22"/>
      <c r="K269" s="22"/>
    </row>
    <row r="270" customFormat="false" ht="15" hidden="false" customHeight="true" outlineLevel="0" collapsed="false">
      <c r="A270" s="22" t="n">
        <v>269</v>
      </c>
      <c r="B270" s="25"/>
      <c r="C270" s="22"/>
      <c r="D270" s="22"/>
      <c r="E270" s="22"/>
      <c r="F270" s="22"/>
      <c r="G270" s="22"/>
      <c r="H270" s="25"/>
      <c r="I270" s="25"/>
      <c r="J270" s="22"/>
      <c r="K270" s="22"/>
    </row>
    <row r="271" customFormat="false" ht="15" hidden="false" customHeight="true" outlineLevel="0" collapsed="false">
      <c r="A271" s="22" t="n">
        <v>270</v>
      </c>
      <c r="B271" s="25"/>
      <c r="C271" s="22"/>
      <c r="D271" s="22"/>
      <c r="E271" s="22"/>
      <c r="F271" s="22"/>
      <c r="G271" s="22"/>
      <c r="H271" s="25"/>
      <c r="I271" s="25"/>
      <c r="J271" s="22"/>
      <c r="K271" s="22"/>
    </row>
    <row r="272" customFormat="false" ht="15" hidden="false" customHeight="true" outlineLevel="0" collapsed="false">
      <c r="A272" s="22" t="n">
        <v>271</v>
      </c>
      <c r="B272" s="25"/>
      <c r="C272" s="22"/>
      <c r="D272" s="22"/>
      <c r="E272" s="22"/>
      <c r="F272" s="22"/>
      <c r="G272" s="22"/>
      <c r="H272" s="25"/>
      <c r="I272" s="25"/>
      <c r="J272" s="22"/>
      <c r="K272" s="22"/>
    </row>
    <row r="273" customFormat="false" ht="15" hidden="false" customHeight="true" outlineLevel="0" collapsed="false">
      <c r="A273" s="22" t="n">
        <v>272</v>
      </c>
      <c r="B273" s="25"/>
      <c r="C273" s="22"/>
      <c r="D273" s="22"/>
      <c r="E273" s="22"/>
      <c r="F273" s="22"/>
      <c r="G273" s="22"/>
      <c r="H273" s="25"/>
      <c r="I273" s="25"/>
      <c r="J273" s="22"/>
      <c r="K273" s="22"/>
    </row>
    <row r="274" customFormat="false" ht="15" hidden="false" customHeight="true" outlineLevel="0" collapsed="false">
      <c r="A274" s="22" t="n">
        <v>273</v>
      </c>
      <c r="B274" s="25"/>
      <c r="C274" s="22"/>
      <c r="D274" s="22"/>
      <c r="E274" s="22"/>
      <c r="F274" s="22"/>
      <c r="G274" s="22"/>
      <c r="H274" s="25"/>
      <c r="I274" s="25"/>
      <c r="J274" s="22"/>
      <c r="K274" s="22"/>
    </row>
    <row r="275" customFormat="false" ht="15" hidden="false" customHeight="true" outlineLevel="0" collapsed="false">
      <c r="A275" s="22" t="n">
        <v>274</v>
      </c>
      <c r="B275" s="25"/>
      <c r="C275" s="22"/>
      <c r="D275" s="22"/>
      <c r="E275" s="22"/>
      <c r="F275" s="22"/>
      <c r="G275" s="22"/>
      <c r="H275" s="25"/>
      <c r="I275" s="25"/>
      <c r="J275" s="22"/>
      <c r="K275" s="22"/>
    </row>
    <row r="276" customFormat="false" ht="15" hidden="false" customHeight="true" outlineLevel="0" collapsed="false">
      <c r="A276" s="22" t="n">
        <v>275</v>
      </c>
      <c r="B276" s="25"/>
      <c r="C276" s="22"/>
      <c r="D276" s="22"/>
      <c r="E276" s="22"/>
      <c r="F276" s="22"/>
      <c r="G276" s="22"/>
      <c r="H276" s="25"/>
      <c r="I276" s="25"/>
      <c r="J276" s="22"/>
      <c r="K276" s="22"/>
    </row>
    <row r="277" customFormat="false" ht="15" hidden="false" customHeight="true" outlineLevel="0" collapsed="false">
      <c r="A277" s="22" t="n">
        <v>276</v>
      </c>
      <c r="B277" s="25"/>
      <c r="C277" s="22"/>
      <c r="D277" s="22"/>
      <c r="E277" s="22"/>
      <c r="F277" s="22"/>
      <c r="G277" s="22"/>
      <c r="H277" s="25"/>
      <c r="I277" s="25"/>
      <c r="J277" s="22"/>
      <c r="K277" s="22"/>
    </row>
    <row r="278" customFormat="false" ht="15" hidden="false" customHeight="true" outlineLevel="0" collapsed="false">
      <c r="A278" s="22" t="n">
        <v>277</v>
      </c>
      <c r="B278" s="25"/>
      <c r="C278" s="22"/>
      <c r="D278" s="22"/>
      <c r="E278" s="22"/>
      <c r="F278" s="22"/>
      <c r="G278" s="22"/>
      <c r="H278" s="25"/>
      <c r="I278" s="25"/>
      <c r="J278" s="22"/>
      <c r="K278" s="22"/>
    </row>
    <row r="279" customFormat="false" ht="15" hidden="false" customHeight="true" outlineLevel="0" collapsed="false">
      <c r="A279" s="22" t="n">
        <v>278</v>
      </c>
      <c r="B279" s="25"/>
      <c r="C279" s="22"/>
      <c r="D279" s="22"/>
      <c r="E279" s="22"/>
      <c r="F279" s="22"/>
      <c r="G279" s="22"/>
      <c r="H279" s="25"/>
      <c r="I279" s="25"/>
      <c r="J279" s="22"/>
      <c r="K279" s="22"/>
    </row>
    <row r="280" customFormat="false" ht="15" hidden="false" customHeight="true" outlineLevel="0" collapsed="false">
      <c r="A280" s="22" t="n">
        <v>279</v>
      </c>
      <c r="B280" s="25"/>
      <c r="C280" s="22"/>
      <c r="D280" s="22"/>
      <c r="E280" s="22"/>
      <c r="F280" s="22"/>
      <c r="G280" s="22"/>
      <c r="H280" s="25"/>
      <c r="I280" s="25"/>
      <c r="J280" s="22"/>
      <c r="K280" s="22"/>
    </row>
    <row r="281" customFormat="false" ht="15" hidden="false" customHeight="true" outlineLevel="0" collapsed="false">
      <c r="A281" s="22" t="n">
        <v>280</v>
      </c>
      <c r="B281" s="25"/>
      <c r="C281" s="22"/>
      <c r="D281" s="22"/>
      <c r="E281" s="22"/>
      <c r="F281" s="22"/>
      <c r="G281" s="22"/>
      <c r="H281" s="25"/>
      <c r="I281" s="25"/>
      <c r="J281" s="22"/>
      <c r="K281" s="22"/>
    </row>
    <row r="282" customFormat="false" ht="15" hidden="false" customHeight="true" outlineLevel="0" collapsed="false">
      <c r="A282" s="22" t="n">
        <v>281</v>
      </c>
      <c r="B282" s="25"/>
      <c r="C282" s="22"/>
      <c r="D282" s="22"/>
      <c r="E282" s="22"/>
      <c r="F282" s="22"/>
      <c r="G282" s="22"/>
      <c r="H282" s="25"/>
      <c r="I282" s="25"/>
      <c r="J282" s="22"/>
      <c r="K282" s="22"/>
    </row>
    <row r="283" customFormat="false" ht="15" hidden="false" customHeight="true" outlineLevel="0" collapsed="false">
      <c r="A283" s="22" t="n">
        <v>282</v>
      </c>
      <c r="B283" s="25"/>
      <c r="C283" s="22"/>
      <c r="D283" s="22"/>
      <c r="E283" s="22"/>
      <c r="F283" s="22"/>
      <c r="G283" s="22"/>
      <c r="H283" s="25"/>
      <c r="I283" s="25"/>
      <c r="J283" s="22"/>
      <c r="K283" s="22"/>
    </row>
    <row r="284" customFormat="false" ht="15" hidden="false" customHeight="true" outlineLevel="0" collapsed="false">
      <c r="A284" s="22" t="n">
        <v>283</v>
      </c>
      <c r="B284" s="25"/>
      <c r="C284" s="22"/>
      <c r="D284" s="22"/>
      <c r="E284" s="22"/>
      <c r="F284" s="22"/>
      <c r="G284" s="22"/>
      <c r="H284" s="25"/>
      <c r="I284" s="25"/>
      <c r="J284" s="22"/>
      <c r="K284" s="22"/>
    </row>
    <row r="285" customFormat="false" ht="15" hidden="false" customHeight="true" outlineLevel="0" collapsed="false">
      <c r="A285" s="22" t="n">
        <v>284</v>
      </c>
      <c r="B285" s="25"/>
      <c r="C285" s="22"/>
      <c r="D285" s="22"/>
      <c r="E285" s="22"/>
      <c r="F285" s="22"/>
      <c r="G285" s="22"/>
      <c r="H285" s="25"/>
      <c r="I285" s="25"/>
      <c r="J285" s="22"/>
      <c r="K285" s="22"/>
    </row>
    <row r="286" customFormat="false" ht="15" hidden="false" customHeight="true" outlineLevel="0" collapsed="false">
      <c r="A286" s="22" t="n">
        <v>285</v>
      </c>
      <c r="B286" s="25"/>
      <c r="C286" s="22"/>
      <c r="D286" s="22"/>
      <c r="E286" s="22"/>
      <c r="F286" s="22"/>
      <c r="G286" s="22"/>
      <c r="H286" s="25"/>
      <c r="I286" s="25"/>
      <c r="J286" s="22"/>
      <c r="K286" s="22"/>
    </row>
    <row r="287" customFormat="false" ht="15" hidden="false" customHeight="true" outlineLevel="0" collapsed="false">
      <c r="A287" s="22" t="n">
        <v>286</v>
      </c>
      <c r="B287" s="25"/>
      <c r="C287" s="22"/>
      <c r="D287" s="22"/>
      <c r="E287" s="22"/>
      <c r="F287" s="22"/>
      <c r="G287" s="22"/>
      <c r="H287" s="25"/>
      <c r="I287" s="25"/>
      <c r="J287" s="22"/>
      <c r="K287" s="22"/>
    </row>
    <row r="288" customFormat="false" ht="15" hidden="false" customHeight="true" outlineLevel="0" collapsed="false">
      <c r="A288" s="22" t="n">
        <v>287</v>
      </c>
      <c r="B288" s="25"/>
      <c r="C288" s="22"/>
      <c r="D288" s="22"/>
      <c r="E288" s="22"/>
      <c r="F288" s="22"/>
      <c r="G288" s="22"/>
      <c r="H288" s="25"/>
      <c r="I288" s="25"/>
      <c r="J288" s="22"/>
      <c r="K288" s="22"/>
    </row>
    <row r="289" customFormat="false" ht="15" hidden="false" customHeight="true" outlineLevel="0" collapsed="false">
      <c r="A289" s="22" t="n">
        <v>288</v>
      </c>
      <c r="B289" s="25"/>
      <c r="C289" s="22"/>
      <c r="D289" s="22"/>
      <c r="E289" s="22"/>
      <c r="F289" s="22"/>
      <c r="G289" s="22"/>
      <c r="H289" s="25"/>
      <c r="I289" s="25"/>
      <c r="J289" s="22"/>
      <c r="K289" s="22"/>
    </row>
    <row r="290" customFormat="false" ht="15" hidden="false" customHeight="true" outlineLevel="0" collapsed="false">
      <c r="A290" s="22" t="n">
        <v>289</v>
      </c>
      <c r="B290" s="25"/>
      <c r="C290" s="22"/>
      <c r="D290" s="22"/>
      <c r="E290" s="22"/>
      <c r="F290" s="22"/>
      <c r="G290" s="22"/>
      <c r="H290" s="25"/>
      <c r="I290" s="25"/>
      <c r="J290" s="22"/>
      <c r="K290" s="22"/>
    </row>
    <row r="291" customFormat="false" ht="15" hidden="false" customHeight="true" outlineLevel="0" collapsed="false">
      <c r="A291" s="22" t="n">
        <v>290</v>
      </c>
      <c r="B291" s="25"/>
      <c r="C291" s="22"/>
      <c r="D291" s="22"/>
      <c r="E291" s="22"/>
      <c r="F291" s="22"/>
      <c r="G291" s="22"/>
      <c r="H291" s="25"/>
      <c r="I291" s="25"/>
      <c r="J291" s="22"/>
      <c r="K291" s="22"/>
    </row>
    <row r="292" customFormat="false" ht="15" hidden="false" customHeight="true" outlineLevel="0" collapsed="false">
      <c r="A292" s="22" t="n">
        <v>291</v>
      </c>
      <c r="B292" s="25"/>
      <c r="C292" s="22"/>
      <c r="D292" s="22"/>
      <c r="E292" s="22"/>
      <c r="F292" s="22"/>
      <c r="G292" s="22"/>
      <c r="H292" s="25"/>
      <c r="I292" s="25"/>
      <c r="J292" s="22"/>
      <c r="K292" s="22"/>
    </row>
    <row r="293" customFormat="false" ht="15" hidden="false" customHeight="true" outlineLevel="0" collapsed="false">
      <c r="A293" s="22" t="n">
        <v>292</v>
      </c>
      <c r="B293" s="25"/>
      <c r="C293" s="22"/>
      <c r="D293" s="22"/>
      <c r="E293" s="22"/>
      <c r="F293" s="22"/>
      <c r="G293" s="22"/>
      <c r="H293" s="25"/>
      <c r="I293" s="25"/>
      <c r="J293" s="22"/>
      <c r="K293" s="22"/>
    </row>
    <row r="294" customFormat="false" ht="15" hidden="false" customHeight="true" outlineLevel="0" collapsed="false">
      <c r="A294" s="22" t="n">
        <v>293</v>
      </c>
      <c r="B294" s="25"/>
      <c r="C294" s="22"/>
      <c r="D294" s="22"/>
      <c r="E294" s="22"/>
      <c r="F294" s="22"/>
      <c r="G294" s="22"/>
      <c r="H294" s="25"/>
      <c r="I294" s="25"/>
      <c r="J294" s="22"/>
      <c r="K294" s="22"/>
    </row>
    <row r="295" customFormat="false" ht="15" hidden="false" customHeight="true" outlineLevel="0" collapsed="false">
      <c r="A295" s="22" t="n">
        <v>294</v>
      </c>
      <c r="B295" s="25"/>
      <c r="C295" s="22"/>
      <c r="D295" s="22"/>
      <c r="E295" s="22"/>
      <c r="F295" s="22"/>
      <c r="G295" s="22"/>
      <c r="H295" s="25"/>
      <c r="I295" s="25"/>
      <c r="J295" s="22"/>
      <c r="K295" s="22"/>
    </row>
    <row r="296" customFormat="false" ht="15" hidden="false" customHeight="true" outlineLevel="0" collapsed="false">
      <c r="A296" s="22" t="n">
        <v>295</v>
      </c>
      <c r="B296" s="25"/>
      <c r="C296" s="22"/>
      <c r="D296" s="22"/>
      <c r="E296" s="22"/>
      <c r="F296" s="22"/>
      <c r="G296" s="22"/>
      <c r="H296" s="25"/>
      <c r="I296" s="25"/>
      <c r="J296" s="22"/>
      <c r="K296" s="22"/>
    </row>
    <row r="297" customFormat="false" ht="15" hidden="false" customHeight="true" outlineLevel="0" collapsed="false">
      <c r="A297" s="22" t="n">
        <v>296</v>
      </c>
      <c r="B297" s="25"/>
      <c r="C297" s="22"/>
      <c r="D297" s="22"/>
      <c r="E297" s="22"/>
      <c r="F297" s="22"/>
      <c r="G297" s="22"/>
      <c r="H297" s="25"/>
      <c r="I297" s="25"/>
      <c r="J297" s="22"/>
      <c r="K297" s="22"/>
    </row>
    <row r="298" customFormat="false" ht="15" hidden="false" customHeight="true" outlineLevel="0" collapsed="false">
      <c r="A298" s="22" t="n">
        <v>297</v>
      </c>
      <c r="B298" s="25"/>
      <c r="C298" s="22"/>
      <c r="D298" s="22"/>
      <c r="E298" s="22"/>
      <c r="F298" s="22"/>
      <c r="G298" s="22"/>
      <c r="H298" s="25"/>
      <c r="I298" s="25"/>
      <c r="J298" s="22"/>
      <c r="K298" s="22"/>
    </row>
    <row r="299" customFormat="false" ht="15" hidden="false" customHeight="true" outlineLevel="0" collapsed="false">
      <c r="A299" s="22" t="n">
        <v>298</v>
      </c>
      <c r="B299" s="25"/>
      <c r="C299" s="22"/>
      <c r="D299" s="22"/>
      <c r="E299" s="22"/>
      <c r="F299" s="22"/>
      <c r="G299" s="22"/>
      <c r="H299" s="25"/>
      <c r="I299" s="25"/>
      <c r="J299" s="22"/>
      <c r="K299" s="22"/>
    </row>
    <row r="300" customFormat="false" ht="15" hidden="false" customHeight="true" outlineLevel="0" collapsed="false">
      <c r="A300" s="22" t="n">
        <v>299</v>
      </c>
      <c r="B300" s="25"/>
      <c r="C300" s="22"/>
      <c r="D300" s="22"/>
      <c r="E300" s="22"/>
      <c r="F300" s="22"/>
      <c r="G300" s="22"/>
      <c r="H300" s="25"/>
      <c r="I300" s="25"/>
      <c r="J300" s="22"/>
      <c r="K300" s="22"/>
    </row>
  </sheetData>
  <autoFilter ref="A1:K300"/>
  <dataValidations count="4">
    <dataValidation allowBlank="true" errorStyle="stop" operator="between" showDropDown="false" showErrorMessage="false" showInputMessage="false" sqref="D2:D300" type="list">
      <formula1>"Ex-colleague,Agency,Recruiter,Referral,Client,Friend"</formula1>
      <formula2>0</formula2>
    </dataValidation>
    <dataValidation allowBlank="true" errorStyle="stop" operator="between" showDropDown="false" showErrorMessage="false" showInputMessage="false" sqref="F2:F300" type="list">
      <formula1>"LinkedIn,Email,WhatsApp,Phone,Other"</formula1>
      <formula2>0</formula2>
    </dataValidation>
    <dataValidation allowBlank="true" errorStyle="stop" operator="between" showDropDown="false" showErrorMessage="false" showInputMessage="false" sqref="G2:G300" type="list">
      <formula1>"Yes,No"</formula1>
      <formula2>0</formula2>
    </dataValidation>
    <dataValidation allowBlank="true" errorStyle="stop" operator="between" showDropDown="false" showErrorMessage="false" showInputMessage="false" sqref="J2:J300" type="list">
      <formula1>"Call booked,Interview,Intro given,Project,Not now,No interest,Pending"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4" min="3" style="1" width="24"/>
    <col collapsed="false" customWidth="true" hidden="false" outlineLevel="0" max="5" min="5" style="1" width="13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38"/>
  </cols>
  <sheetData>
    <row r="1" customFormat="false" ht="31.5" hidden="false" customHeight="true" outlineLevel="0" collapsed="false">
      <c r="A1" s="21" t="s">
        <v>806</v>
      </c>
      <c r="B1" s="21" t="s">
        <v>997</v>
      </c>
      <c r="C1" s="21" t="s">
        <v>998</v>
      </c>
      <c r="D1" s="21" t="s">
        <v>999</v>
      </c>
      <c r="E1" s="21" t="s">
        <v>1000</v>
      </c>
      <c r="F1" s="21" t="s">
        <v>120</v>
      </c>
      <c r="G1" s="21" t="s">
        <v>1001</v>
      </c>
      <c r="H1" s="21" t="s">
        <v>1002</v>
      </c>
      <c r="I1" s="21" t="s">
        <v>1003</v>
      </c>
      <c r="J1" s="21" t="s">
        <v>572</v>
      </c>
    </row>
    <row r="2" customFormat="false" ht="15" hidden="false" customHeight="true" outlineLevel="0" collapsed="false">
      <c r="A2" s="22" t="n">
        <v>1</v>
      </c>
      <c r="B2" s="33" t="n">
        <v>46027</v>
      </c>
      <c r="C2" s="34" t="s">
        <v>1004</v>
      </c>
      <c r="D2" s="34" t="s">
        <v>1005</v>
      </c>
      <c r="E2" s="37" t="n">
        <v>20000</v>
      </c>
      <c r="F2" s="34" t="s">
        <v>1006</v>
      </c>
      <c r="G2" s="37" t="n">
        <v>10000</v>
      </c>
      <c r="H2" s="37" t="n">
        <v>20000</v>
      </c>
      <c r="I2" s="34" t="s">
        <v>827</v>
      </c>
      <c r="J2" s="34" t="s">
        <v>987</v>
      </c>
    </row>
    <row r="3" customFormat="false" ht="15" hidden="false" customHeight="true" outlineLevel="0" collapsed="false">
      <c r="A3" s="22" t="n">
        <v>2</v>
      </c>
      <c r="B3" s="25"/>
      <c r="C3" s="22"/>
      <c r="D3" s="22"/>
      <c r="E3" s="38"/>
      <c r="F3" s="22"/>
      <c r="G3" s="38"/>
      <c r="H3" s="38"/>
      <c r="I3" s="22"/>
      <c r="J3" s="22"/>
    </row>
    <row r="4" customFormat="false" ht="15" hidden="false" customHeight="true" outlineLevel="0" collapsed="false">
      <c r="A4" s="22" t="n">
        <v>3</v>
      </c>
      <c r="B4" s="25"/>
      <c r="C4" s="22"/>
      <c r="D4" s="22"/>
      <c r="E4" s="38"/>
      <c r="F4" s="22"/>
      <c r="G4" s="38"/>
      <c r="H4" s="38"/>
      <c r="I4" s="22"/>
      <c r="J4" s="22"/>
    </row>
    <row r="5" customFormat="false" ht="15" hidden="false" customHeight="true" outlineLevel="0" collapsed="false">
      <c r="A5" s="22" t="n">
        <v>4</v>
      </c>
      <c r="B5" s="25"/>
      <c r="C5" s="22"/>
      <c r="D5" s="22"/>
      <c r="E5" s="38"/>
      <c r="F5" s="22"/>
      <c r="G5" s="38"/>
      <c r="H5" s="38"/>
      <c r="I5" s="22"/>
      <c r="J5" s="22"/>
    </row>
    <row r="6" customFormat="false" ht="15" hidden="false" customHeight="true" outlineLevel="0" collapsed="false">
      <c r="A6" s="22" t="n">
        <v>5</v>
      </c>
      <c r="B6" s="25"/>
      <c r="C6" s="22"/>
      <c r="D6" s="22"/>
      <c r="E6" s="38"/>
      <c r="F6" s="22"/>
      <c r="G6" s="38"/>
      <c r="H6" s="38"/>
      <c r="I6" s="22"/>
      <c r="J6" s="22"/>
    </row>
    <row r="7" customFormat="false" ht="15" hidden="false" customHeight="true" outlineLevel="0" collapsed="false">
      <c r="A7" s="22" t="n">
        <v>6</v>
      </c>
      <c r="B7" s="25"/>
      <c r="C7" s="22"/>
      <c r="D7" s="22"/>
      <c r="E7" s="38"/>
      <c r="F7" s="22"/>
      <c r="G7" s="38"/>
      <c r="H7" s="38"/>
      <c r="I7" s="22"/>
      <c r="J7" s="22"/>
    </row>
    <row r="8" customFormat="false" ht="15" hidden="false" customHeight="true" outlineLevel="0" collapsed="false">
      <c r="A8" s="22" t="n">
        <v>7</v>
      </c>
      <c r="B8" s="25"/>
      <c r="C8" s="22"/>
      <c r="D8" s="22"/>
      <c r="E8" s="38"/>
      <c r="F8" s="22"/>
      <c r="G8" s="38"/>
      <c r="H8" s="38"/>
      <c r="I8" s="22"/>
      <c r="J8" s="22"/>
    </row>
    <row r="9" customFormat="false" ht="15" hidden="false" customHeight="true" outlineLevel="0" collapsed="false">
      <c r="A9" s="22" t="n">
        <v>8</v>
      </c>
      <c r="B9" s="25"/>
      <c r="C9" s="22"/>
      <c r="D9" s="22"/>
      <c r="E9" s="38"/>
      <c r="F9" s="22"/>
      <c r="G9" s="38"/>
      <c r="H9" s="38"/>
      <c r="I9" s="22"/>
      <c r="J9" s="22"/>
    </row>
    <row r="10" customFormat="false" ht="15" hidden="false" customHeight="true" outlineLevel="0" collapsed="false">
      <c r="A10" s="22" t="n">
        <v>9</v>
      </c>
      <c r="B10" s="25"/>
      <c r="C10" s="22"/>
      <c r="D10" s="22"/>
      <c r="E10" s="38"/>
      <c r="F10" s="22"/>
      <c r="G10" s="38"/>
      <c r="H10" s="38"/>
      <c r="I10" s="22"/>
      <c r="J10" s="22"/>
    </row>
    <row r="11" customFormat="false" ht="15" hidden="false" customHeight="true" outlineLevel="0" collapsed="false">
      <c r="A11" s="22" t="n">
        <v>10</v>
      </c>
      <c r="B11" s="25"/>
      <c r="C11" s="22"/>
      <c r="D11" s="22"/>
      <c r="E11" s="38"/>
      <c r="F11" s="22"/>
      <c r="G11" s="38"/>
      <c r="H11" s="38"/>
      <c r="I11" s="22"/>
      <c r="J11" s="22"/>
    </row>
    <row r="12" customFormat="false" ht="15" hidden="false" customHeight="true" outlineLevel="0" collapsed="false">
      <c r="A12" s="22" t="n">
        <v>11</v>
      </c>
      <c r="B12" s="25"/>
      <c r="C12" s="22"/>
      <c r="D12" s="22"/>
      <c r="E12" s="38"/>
      <c r="F12" s="22"/>
      <c r="G12" s="38"/>
      <c r="H12" s="38"/>
      <c r="I12" s="22"/>
      <c r="J12" s="22"/>
    </row>
    <row r="13" customFormat="false" ht="15" hidden="false" customHeight="true" outlineLevel="0" collapsed="false">
      <c r="A13" s="22" t="n">
        <v>12</v>
      </c>
      <c r="B13" s="25"/>
      <c r="C13" s="22"/>
      <c r="D13" s="22"/>
      <c r="E13" s="38"/>
      <c r="F13" s="22"/>
      <c r="G13" s="38"/>
      <c r="H13" s="38"/>
      <c r="I13" s="22"/>
      <c r="J13" s="22"/>
    </row>
    <row r="14" customFormat="false" ht="15" hidden="false" customHeight="true" outlineLevel="0" collapsed="false">
      <c r="A14" s="22" t="n">
        <v>13</v>
      </c>
      <c r="B14" s="25"/>
      <c r="C14" s="22"/>
      <c r="D14" s="22"/>
      <c r="E14" s="38"/>
      <c r="F14" s="22"/>
      <c r="G14" s="38"/>
      <c r="H14" s="38"/>
      <c r="I14" s="22"/>
      <c r="J14" s="22"/>
    </row>
    <row r="15" customFormat="false" ht="15" hidden="false" customHeight="true" outlineLevel="0" collapsed="false">
      <c r="A15" s="22" t="n">
        <v>14</v>
      </c>
      <c r="B15" s="25"/>
      <c r="C15" s="22"/>
      <c r="D15" s="22"/>
      <c r="E15" s="38"/>
      <c r="F15" s="22"/>
      <c r="G15" s="38"/>
      <c r="H15" s="38"/>
      <c r="I15" s="22"/>
      <c r="J15" s="22"/>
    </row>
    <row r="16" customFormat="false" ht="15" hidden="false" customHeight="true" outlineLevel="0" collapsed="false">
      <c r="A16" s="22" t="n">
        <v>15</v>
      </c>
      <c r="B16" s="25"/>
      <c r="C16" s="22"/>
      <c r="D16" s="22"/>
      <c r="E16" s="38"/>
      <c r="F16" s="22"/>
      <c r="G16" s="38"/>
      <c r="H16" s="38"/>
      <c r="I16" s="22"/>
      <c r="J16" s="22"/>
    </row>
    <row r="17" customFormat="false" ht="15" hidden="false" customHeight="true" outlineLevel="0" collapsed="false">
      <c r="A17" s="22" t="n">
        <v>16</v>
      </c>
      <c r="B17" s="25"/>
      <c r="C17" s="22"/>
      <c r="D17" s="22"/>
      <c r="E17" s="38"/>
      <c r="F17" s="22"/>
      <c r="G17" s="38"/>
      <c r="H17" s="38"/>
      <c r="I17" s="22"/>
      <c r="J17" s="22"/>
    </row>
    <row r="18" customFormat="false" ht="15" hidden="false" customHeight="true" outlineLevel="0" collapsed="false">
      <c r="A18" s="22" t="n">
        <v>17</v>
      </c>
      <c r="B18" s="25"/>
      <c r="C18" s="22"/>
      <c r="D18" s="22"/>
      <c r="E18" s="38"/>
      <c r="F18" s="22"/>
      <c r="G18" s="38"/>
      <c r="H18" s="38"/>
      <c r="I18" s="22"/>
      <c r="J18" s="22"/>
    </row>
    <row r="19" customFormat="false" ht="15" hidden="false" customHeight="true" outlineLevel="0" collapsed="false">
      <c r="A19" s="22" t="n">
        <v>18</v>
      </c>
      <c r="B19" s="25"/>
      <c r="C19" s="22"/>
      <c r="D19" s="22"/>
      <c r="E19" s="38"/>
      <c r="F19" s="22"/>
      <c r="G19" s="38"/>
      <c r="H19" s="38"/>
      <c r="I19" s="22"/>
      <c r="J19" s="22"/>
    </row>
    <row r="20" customFormat="false" ht="15" hidden="false" customHeight="true" outlineLevel="0" collapsed="false">
      <c r="A20" s="22" t="n">
        <v>19</v>
      </c>
      <c r="B20" s="25"/>
      <c r="C20" s="22"/>
      <c r="D20" s="22"/>
      <c r="E20" s="38"/>
      <c r="F20" s="22"/>
      <c r="G20" s="38"/>
      <c r="H20" s="38"/>
      <c r="I20" s="22"/>
      <c r="J20" s="22"/>
    </row>
    <row r="21" customFormat="false" ht="15" hidden="false" customHeight="true" outlineLevel="0" collapsed="false">
      <c r="A21" s="22" t="n">
        <v>20</v>
      </c>
      <c r="B21" s="25"/>
      <c r="C21" s="22"/>
      <c r="D21" s="22"/>
      <c r="E21" s="38"/>
      <c r="F21" s="22"/>
      <c r="G21" s="38"/>
      <c r="H21" s="38"/>
      <c r="I21" s="22"/>
      <c r="J21" s="22"/>
    </row>
    <row r="22" customFormat="false" ht="15" hidden="false" customHeight="true" outlineLevel="0" collapsed="false">
      <c r="A22" s="22" t="n">
        <v>21</v>
      </c>
      <c r="B22" s="25"/>
      <c r="C22" s="22"/>
      <c r="D22" s="22"/>
      <c r="E22" s="38"/>
      <c r="F22" s="22"/>
      <c r="G22" s="38"/>
      <c r="H22" s="38"/>
      <c r="I22" s="22"/>
      <c r="J22" s="22"/>
    </row>
    <row r="23" customFormat="false" ht="15" hidden="false" customHeight="true" outlineLevel="0" collapsed="false">
      <c r="A23" s="22" t="n">
        <v>22</v>
      </c>
      <c r="B23" s="25"/>
      <c r="C23" s="22"/>
      <c r="D23" s="22"/>
      <c r="E23" s="38"/>
      <c r="F23" s="22"/>
      <c r="G23" s="38"/>
      <c r="H23" s="38"/>
      <c r="I23" s="22"/>
      <c r="J23" s="22"/>
    </row>
    <row r="24" customFormat="false" ht="15" hidden="false" customHeight="true" outlineLevel="0" collapsed="false">
      <c r="A24" s="22" t="n">
        <v>23</v>
      </c>
      <c r="B24" s="25"/>
      <c r="C24" s="22"/>
      <c r="D24" s="22"/>
      <c r="E24" s="38"/>
      <c r="F24" s="22"/>
      <c r="G24" s="38"/>
      <c r="H24" s="38"/>
      <c r="I24" s="22"/>
      <c r="J24" s="22"/>
    </row>
    <row r="25" customFormat="false" ht="15" hidden="false" customHeight="true" outlineLevel="0" collapsed="false">
      <c r="A25" s="22" t="n">
        <v>24</v>
      </c>
      <c r="B25" s="25"/>
      <c r="C25" s="22"/>
      <c r="D25" s="22"/>
      <c r="E25" s="38"/>
      <c r="F25" s="22"/>
      <c r="G25" s="38"/>
      <c r="H25" s="38"/>
      <c r="I25" s="22"/>
      <c r="J25" s="22"/>
    </row>
    <row r="26" customFormat="false" ht="15" hidden="false" customHeight="true" outlineLevel="0" collapsed="false">
      <c r="A26" s="22" t="n">
        <v>25</v>
      </c>
      <c r="B26" s="25"/>
      <c r="C26" s="22"/>
      <c r="D26" s="22"/>
      <c r="E26" s="38"/>
      <c r="F26" s="22"/>
      <c r="G26" s="38"/>
      <c r="H26" s="38"/>
      <c r="I26" s="22"/>
      <c r="J26" s="22"/>
    </row>
    <row r="27" customFormat="false" ht="15" hidden="false" customHeight="true" outlineLevel="0" collapsed="false">
      <c r="A27" s="22" t="n">
        <v>26</v>
      </c>
      <c r="B27" s="25"/>
      <c r="C27" s="22"/>
      <c r="D27" s="22"/>
      <c r="E27" s="38"/>
      <c r="F27" s="22"/>
      <c r="G27" s="38"/>
      <c r="H27" s="38"/>
      <c r="I27" s="22"/>
      <c r="J27" s="22"/>
    </row>
    <row r="28" customFormat="false" ht="15" hidden="false" customHeight="true" outlineLevel="0" collapsed="false">
      <c r="A28" s="22" t="n">
        <v>27</v>
      </c>
      <c r="B28" s="25"/>
      <c r="C28" s="22"/>
      <c r="D28" s="22"/>
      <c r="E28" s="38"/>
      <c r="F28" s="22"/>
      <c r="G28" s="38"/>
      <c r="H28" s="38"/>
      <c r="I28" s="22"/>
      <c r="J28" s="22"/>
    </row>
    <row r="29" customFormat="false" ht="15" hidden="false" customHeight="true" outlineLevel="0" collapsed="false">
      <c r="A29" s="22" t="n">
        <v>28</v>
      </c>
      <c r="B29" s="25"/>
      <c r="C29" s="22"/>
      <c r="D29" s="22"/>
      <c r="E29" s="38"/>
      <c r="F29" s="22"/>
      <c r="G29" s="38"/>
      <c r="H29" s="38"/>
      <c r="I29" s="22"/>
      <c r="J29" s="22"/>
    </row>
    <row r="30" customFormat="false" ht="15" hidden="false" customHeight="true" outlineLevel="0" collapsed="false">
      <c r="A30" s="22" t="n">
        <v>29</v>
      </c>
      <c r="B30" s="25"/>
      <c r="C30" s="22"/>
      <c r="D30" s="22"/>
      <c r="E30" s="38"/>
      <c r="F30" s="22"/>
      <c r="G30" s="38"/>
      <c r="H30" s="38"/>
      <c r="I30" s="22"/>
      <c r="J30" s="22"/>
    </row>
    <row r="31" customFormat="false" ht="15" hidden="false" customHeight="true" outlineLevel="0" collapsed="false">
      <c r="A31" s="22" t="n">
        <v>30</v>
      </c>
      <c r="B31" s="25"/>
      <c r="C31" s="22"/>
      <c r="D31" s="22"/>
      <c r="E31" s="38"/>
      <c r="F31" s="22"/>
      <c r="G31" s="38"/>
      <c r="H31" s="38"/>
      <c r="I31" s="22"/>
      <c r="J31" s="22"/>
    </row>
    <row r="32" customFormat="false" ht="15" hidden="false" customHeight="true" outlineLevel="0" collapsed="false">
      <c r="A32" s="22" t="n">
        <v>31</v>
      </c>
      <c r="B32" s="25"/>
      <c r="C32" s="22"/>
      <c r="D32" s="22"/>
      <c r="E32" s="38"/>
      <c r="F32" s="22"/>
      <c r="G32" s="38"/>
      <c r="H32" s="38"/>
      <c r="I32" s="22"/>
      <c r="J32" s="22"/>
    </row>
    <row r="33" customFormat="false" ht="15" hidden="false" customHeight="true" outlineLevel="0" collapsed="false">
      <c r="A33" s="22" t="n">
        <v>32</v>
      </c>
      <c r="B33" s="25"/>
      <c r="C33" s="22"/>
      <c r="D33" s="22"/>
      <c r="E33" s="38"/>
      <c r="F33" s="22"/>
      <c r="G33" s="38"/>
      <c r="H33" s="38"/>
      <c r="I33" s="22"/>
      <c r="J33" s="22"/>
    </row>
    <row r="34" customFormat="false" ht="15" hidden="false" customHeight="true" outlineLevel="0" collapsed="false">
      <c r="A34" s="22" t="n">
        <v>33</v>
      </c>
      <c r="B34" s="25"/>
      <c r="C34" s="22"/>
      <c r="D34" s="22"/>
      <c r="E34" s="38"/>
      <c r="F34" s="22"/>
      <c r="G34" s="38"/>
      <c r="H34" s="38"/>
      <c r="I34" s="22"/>
      <c r="J34" s="22"/>
    </row>
    <row r="35" customFormat="false" ht="15" hidden="false" customHeight="true" outlineLevel="0" collapsed="false">
      <c r="A35" s="22" t="n">
        <v>34</v>
      </c>
      <c r="B35" s="25"/>
      <c r="C35" s="22"/>
      <c r="D35" s="22"/>
      <c r="E35" s="38"/>
      <c r="F35" s="22"/>
      <c r="G35" s="38"/>
      <c r="H35" s="38"/>
      <c r="I35" s="22"/>
      <c r="J35" s="22"/>
    </row>
    <row r="36" customFormat="false" ht="15" hidden="false" customHeight="true" outlineLevel="0" collapsed="false">
      <c r="A36" s="22" t="n">
        <v>35</v>
      </c>
      <c r="B36" s="25"/>
      <c r="C36" s="22"/>
      <c r="D36" s="22"/>
      <c r="E36" s="38"/>
      <c r="F36" s="22"/>
      <c r="G36" s="38"/>
      <c r="H36" s="38"/>
      <c r="I36" s="22"/>
      <c r="J36" s="22"/>
    </row>
    <row r="37" customFormat="false" ht="15" hidden="false" customHeight="true" outlineLevel="0" collapsed="false">
      <c r="A37" s="22" t="n">
        <v>36</v>
      </c>
      <c r="B37" s="25"/>
      <c r="C37" s="22"/>
      <c r="D37" s="22"/>
      <c r="E37" s="38"/>
      <c r="F37" s="22"/>
      <c r="G37" s="38"/>
      <c r="H37" s="38"/>
      <c r="I37" s="22"/>
      <c r="J37" s="22"/>
    </row>
    <row r="38" customFormat="false" ht="15" hidden="false" customHeight="true" outlineLevel="0" collapsed="false">
      <c r="A38" s="22" t="n">
        <v>37</v>
      </c>
      <c r="B38" s="25"/>
      <c r="C38" s="22"/>
      <c r="D38" s="22"/>
      <c r="E38" s="38"/>
      <c r="F38" s="22"/>
      <c r="G38" s="38"/>
      <c r="H38" s="38"/>
      <c r="I38" s="22"/>
      <c r="J38" s="22"/>
    </row>
    <row r="39" customFormat="false" ht="15" hidden="false" customHeight="true" outlineLevel="0" collapsed="false">
      <c r="A39" s="22" t="n">
        <v>38</v>
      </c>
      <c r="B39" s="25"/>
      <c r="C39" s="22"/>
      <c r="D39" s="22"/>
      <c r="E39" s="38"/>
      <c r="F39" s="22"/>
      <c r="G39" s="38"/>
      <c r="H39" s="38"/>
      <c r="I39" s="22"/>
      <c r="J39" s="22"/>
    </row>
    <row r="40" customFormat="false" ht="15" hidden="false" customHeight="true" outlineLevel="0" collapsed="false">
      <c r="A40" s="22" t="n">
        <v>39</v>
      </c>
      <c r="B40" s="25"/>
      <c r="C40" s="22"/>
      <c r="D40" s="22"/>
      <c r="E40" s="38"/>
      <c r="F40" s="22"/>
      <c r="G40" s="38"/>
      <c r="H40" s="38"/>
      <c r="I40" s="22"/>
      <c r="J40" s="22"/>
    </row>
    <row r="41" customFormat="false" ht="15" hidden="false" customHeight="true" outlineLevel="0" collapsed="false">
      <c r="A41" s="22" t="n">
        <v>40</v>
      </c>
      <c r="B41" s="25"/>
      <c r="C41" s="22"/>
      <c r="D41" s="22"/>
      <c r="E41" s="38"/>
      <c r="F41" s="22"/>
      <c r="G41" s="38"/>
      <c r="H41" s="38"/>
      <c r="I41" s="22"/>
      <c r="J41" s="22"/>
    </row>
    <row r="42" customFormat="false" ht="15" hidden="false" customHeight="true" outlineLevel="0" collapsed="false">
      <c r="A42" s="22" t="n">
        <v>41</v>
      </c>
      <c r="B42" s="25"/>
      <c r="C42" s="22"/>
      <c r="D42" s="22"/>
      <c r="E42" s="38"/>
      <c r="F42" s="22"/>
      <c r="G42" s="38"/>
      <c r="H42" s="38"/>
      <c r="I42" s="22"/>
      <c r="J42" s="22"/>
    </row>
    <row r="43" customFormat="false" ht="15" hidden="false" customHeight="true" outlineLevel="0" collapsed="false">
      <c r="A43" s="22" t="n">
        <v>42</v>
      </c>
      <c r="B43" s="25"/>
      <c r="C43" s="22"/>
      <c r="D43" s="22"/>
      <c r="E43" s="38"/>
      <c r="F43" s="22"/>
      <c r="G43" s="38"/>
      <c r="H43" s="38"/>
      <c r="I43" s="22"/>
      <c r="J43" s="22"/>
    </row>
    <row r="44" customFormat="false" ht="15" hidden="false" customHeight="true" outlineLevel="0" collapsed="false">
      <c r="A44" s="22" t="n">
        <v>43</v>
      </c>
      <c r="B44" s="25"/>
      <c r="C44" s="22"/>
      <c r="D44" s="22"/>
      <c r="E44" s="38"/>
      <c r="F44" s="22"/>
      <c r="G44" s="38"/>
      <c r="H44" s="38"/>
      <c r="I44" s="22"/>
      <c r="J44" s="22"/>
    </row>
    <row r="45" customFormat="false" ht="15" hidden="false" customHeight="true" outlineLevel="0" collapsed="false">
      <c r="A45" s="22" t="n">
        <v>44</v>
      </c>
      <c r="B45" s="25"/>
      <c r="C45" s="22"/>
      <c r="D45" s="22"/>
      <c r="E45" s="38"/>
      <c r="F45" s="22"/>
      <c r="G45" s="38"/>
      <c r="H45" s="38"/>
      <c r="I45" s="22"/>
      <c r="J45" s="22"/>
    </row>
    <row r="46" customFormat="false" ht="15" hidden="false" customHeight="true" outlineLevel="0" collapsed="false">
      <c r="A46" s="22" t="n">
        <v>45</v>
      </c>
      <c r="B46" s="25"/>
      <c r="C46" s="22"/>
      <c r="D46" s="22"/>
      <c r="E46" s="38"/>
      <c r="F46" s="22"/>
      <c r="G46" s="38"/>
      <c r="H46" s="38"/>
      <c r="I46" s="22"/>
      <c r="J46" s="22"/>
    </row>
    <row r="47" customFormat="false" ht="15" hidden="false" customHeight="true" outlineLevel="0" collapsed="false">
      <c r="A47" s="22" t="n">
        <v>46</v>
      </c>
      <c r="B47" s="25"/>
      <c r="C47" s="22"/>
      <c r="D47" s="22"/>
      <c r="E47" s="38"/>
      <c r="F47" s="22"/>
      <c r="G47" s="38"/>
      <c r="H47" s="38"/>
      <c r="I47" s="22"/>
      <c r="J47" s="22"/>
    </row>
    <row r="48" customFormat="false" ht="15" hidden="false" customHeight="true" outlineLevel="0" collapsed="false">
      <c r="A48" s="22" t="n">
        <v>47</v>
      </c>
      <c r="B48" s="25"/>
      <c r="C48" s="22"/>
      <c r="D48" s="22"/>
      <c r="E48" s="38"/>
      <c r="F48" s="22"/>
      <c r="G48" s="38"/>
      <c r="H48" s="38"/>
      <c r="I48" s="22"/>
      <c r="J48" s="22"/>
    </row>
    <row r="49" customFormat="false" ht="15" hidden="false" customHeight="true" outlineLevel="0" collapsed="false">
      <c r="A49" s="22" t="n">
        <v>48</v>
      </c>
      <c r="B49" s="25"/>
      <c r="C49" s="22"/>
      <c r="D49" s="22"/>
      <c r="E49" s="38"/>
      <c r="F49" s="22"/>
      <c r="G49" s="38"/>
      <c r="H49" s="38"/>
      <c r="I49" s="22"/>
      <c r="J49" s="22"/>
    </row>
    <row r="50" customFormat="false" ht="15" hidden="false" customHeight="true" outlineLevel="0" collapsed="false">
      <c r="A50" s="22" t="n">
        <v>49</v>
      </c>
      <c r="B50" s="25"/>
      <c r="C50" s="22"/>
      <c r="D50" s="22"/>
      <c r="E50" s="38"/>
      <c r="F50" s="22"/>
      <c r="G50" s="38"/>
      <c r="H50" s="38"/>
      <c r="I50" s="22"/>
      <c r="J50" s="22"/>
    </row>
    <row r="51" customFormat="false" ht="15" hidden="false" customHeight="true" outlineLevel="0" collapsed="false">
      <c r="A51" s="22" t="n">
        <v>50</v>
      </c>
      <c r="B51" s="25"/>
      <c r="C51" s="22"/>
      <c r="D51" s="22"/>
      <c r="E51" s="38"/>
      <c r="F51" s="22"/>
      <c r="G51" s="38"/>
      <c r="H51" s="38"/>
      <c r="I51" s="22"/>
      <c r="J51" s="22"/>
    </row>
    <row r="52" customFormat="false" ht="15" hidden="false" customHeight="true" outlineLevel="0" collapsed="false">
      <c r="A52" s="22" t="n">
        <v>51</v>
      </c>
      <c r="B52" s="25"/>
      <c r="C52" s="22"/>
      <c r="D52" s="22"/>
      <c r="E52" s="38"/>
      <c r="F52" s="22"/>
      <c r="G52" s="38"/>
      <c r="H52" s="38"/>
      <c r="I52" s="22"/>
      <c r="J52" s="22"/>
    </row>
    <row r="53" customFormat="false" ht="15" hidden="false" customHeight="true" outlineLevel="0" collapsed="false">
      <c r="A53" s="22" t="n">
        <v>52</v>
      </c>
      <c r="B53" s="25"/>
      <c r="C53" s="22"/>
      <c r="D53" s="22"/>
      <c r="E53" s="38"/>
      <c r="F53" s="22"/>
      <c r="G53" s="38"/>
      <c r="H53" s="38"/>
      <c r="I53" s="22"/>
      <c r="J53" s="22"/>
    </row>
    <row r="54" customFormat="false" ht="15" hidden="false" customHeight="true" outlineLevel="0" collapsed="false">
      <c r="A54" s="22" t="n">
        <v>53</v>
      </c>
      <c r="B54" s="25"/>
      <c r="C54" s="22"/>
      <c r="D54" s="22"/>
      <c r="E54" s="38"/>
      <c r="F54" s="22"/>
      <c r="G54" s="38"/>
      <c r="H54" s="38"/>
      <c r="I54" s="22"/>
      <c r="J54" s="22"/>
    </row>
    <row r="55" customFormat="false" ht="15" hidden="false" customHeight="true" outlineLevel="0" collapsed="false">
      <c r="A55" s="22" t="n">
        <v>54</v>
      </c>
      <c r="B55" s="25"/>
      <c r="C55" s="22"/>
      <c r="D55" s="22"/>
      <c r="E55" s="38"/>
      <c r="F55" s="22"/>
      <c r="G55" s="38"/>
      <c r="H55" s="38"/>
      <c r="I55" s="22"/>
      <c r="J55" s="22"/>
    </row>
    <row r="56" customFormat="false" ht="15" hidden="false" customHeight="true" outlineLevel="0" collapsed="false">
      <c r="A56" s="22" t="n">
        <v>55</v>
      </c>
      <c r="B56" s="25"/>
      <c r="C56" s="22"/>
      <c r="D56" s="22"/>
      <c r="E56" s="38"/>
      <c r="F56" s="22"/>
      <c r="G56" s="38"/>
      <c r="H56" s="38"/>
      <c r="I56" s="22"/>
      <c r="J56" s="22"/>
    </row>
    <row r="57" customFormat="false" ht="15" hidden="false" customHeight="true" outlineLevel="0" collapsed="false">
      <c r="A57" s="22" t="n">
        <v>56</v>
      </c>
      <c r="B57" s="25"/>
      <c r="C57" s="22"/>
      <c r="D57" s="22"/>
      <c r="E57" s="38"/>
      <c r="F57" s="22"/>
      <c r="G57" s="38"/>
      <c r="H57" s="38"/>
      <c r="I57" s="22"/>
      <c r="J57" s="22"/>
    </row>
    <row r="58" customFormat="false" ht="15" hidden="false" customHeight="true" outlineLevel="0" collapsed="false">
      <c r="A58" s="22" t="n">
        <v>57</v>
      </c>
      <c r="B58" s="25"/>
      <c r="C58" s="22"/>
      <c r="D58" s="22"/>
      <c r="E58" s="38"/>
      <c r="F58" s="22"/>
      <c r="G58" s="38"/>
      <c r="H58" s="38"/>
      <c r="I58" s="22"/>
      <c r="J58" s="22"/>
    </row>
    <row r="59" customFormat="false" ht="15" hidden="false" customHeight="true" outlineLevel="0" collapsed="false">
      <c r="A59" s="22" t="n">
        <v>58</v>
      </c>
      <c r="B59" s="25"/>
      <c r="C59" s="22"/>
      <c r="D59" s="22"/>
      <c r="E59" s="38"/>
      <c r="F59" s="22"/>
      <c r="G59" s="38"/>
      <c r="H59" s="38"/>
      <c r="I59" s="22"/>
      <c r="J59" s="22"/>
    </row>
    <row r="60" customFormat="false" ht="15" hidden="false" customHeight="true" outlineLevel="0" collapsed="false">
      <c r="A60" s="22" t="n">
        <v>59</v>
      </c>
      <c r="B60" s="25"/>
      <c r="C60" s="22"/>
      <c r="D60" s="22"/>
      <c r="E60" s="38"/>
      <c r="F60" s="22"/>
      <c r="G60" s="38"/>
      <c r="H60" s="38"/>
      <c r="I60" s="22"/>
      <c r="J60" s="22"/>
    </row>
    <row r="61" customFormat="false" ht="15" hidden="false" customHeight="true" outlineLevel="0" collapsed="false">
      <c r="A61" s="22" t="n">
        <v>60</v>
      </c>
      <c r="B61" s="25"/>
      <c r="C61" s="22"/>
      <c r="D61" s="22"/>
      <c r="E61" s="38"/>
      <c r="F61" s="22"/>
      <c r="G61" s="38"/>
      <c r="H61" s="38"/>
      <c r="I61" s="22"/>
      <c r="J61" s="22"/>
    </row>
    <row r="62" customFormat="false" ht="15" hidden="false" customHeight="true" outlineLevel="0" collapsed="false">
      <c r="A62" s="22" t="n">
        <v>61</v>
      </c>
      <c r="B62" s="25"/>
      <c r="C62" s="22"/>
      <c r="D62" s="22"/>
      <c r="E62" s="38"/>
      <c r="F62" s="22"/>
      <c r="G62" s="38"/>
      <c r="H62" s="38"/>
      <c r="I62" s="22"/>
      <c r="J62" s="22"/>
    </row>
    <row r="63" customFormat="false" ht="15" hidden="false" customHeight="true" outlineLevel="0" collapsed="false">
      <c r="A63" s="22" t="n">
        <v>62</v>
      </c>
      <c r="B63" s="25"/>
      <c r="C63" s="22"/>
      <c r="D63" s="22"/>
      <c r="E63" s="38"/>
      <c r="F63" s="22"/>
      <c r="G63" s="38"/>
      <c r="H63" s="38"/>
      <c r="I63" s="22"/>
      <c r="J63" s="22"/>
    </row>
    <row r="64" customFormat="false" ht="15" hidden="false" customHeight="true" outlineLevel="0" collapsed="false">
      <c r="A64" s="22" t="n">
        <v>63</v>
      </c>
      <c r="B64" s="25"/>
      <c r="C64" s="22"/>
      <c r="D64" s="22"/>
      <c r="E64" s="38"/>
      <c r="F64" s="22"/>
      <c r="G64" s="38"/>
      <c r="H64" s="38"/>
      <c r="I64" s="22"/>
      <c r="J64" s="22"/>
    </row>
    <row r="65" customFormat="false" ht="15" hidden="false" customHeight="true" outlineLevel="0" collapsed="false">
      <c r="A65" s="22" t="n">
        <v>64</v>
      </c>
      <c r="B65" s="25"/>
      <c r="C65" s="22"/>
      <c r="D65" s="22"/>
      <c r="E65" s="38"/>
      <c r="F65" s="22"/>
      <c r="G65" s="38"/>
      <c r="H65" s="38"/>
      <c r="I65" s="22"/>
      <c r="J65" s="22"/>
    </row>
    <row r="66" customFormat="false" ht="15" hidden="false" customHeight="true" outlineLevel="0" collapsed="false">
      <c r="A66" s="22" t="n">
        <v>65</v>
      </c>
      <c r="B66" s="25"/>
      <c r="C66" s="22"/>
      <c r="D66" s="22"/>
      <c r="E66" s="38"/>
      <c r="F66" s="22"/>
      <c r="G66" s="38"/>
      <c r="H66" s="38"/>
      <c r="I66" s="22"/>
      <c r="J66" s="22"/>
    </row>
    <row r="67" customFormat="false" ht="15" hidden="false" customHeight="true" outlineLevel="0" collapsed="false">
      <c r="A67" s="22" t="n">
        <v>66</v>
      </c>
      <c r="B67" s="25"/>
      <c r="C67" s="22"/>
      <c r="D67" s="22"/>
      <c r="E67" s="38"/>
      <c r="F67" s="22"/>
      <c r="G67" s="38"/>
      <c r="H67" s="38"/>
      <c r="I67" s="22"/>
      <c r="J67" s="22"/>
    </row>
    <row r="68" customFormat="false" ht="15" hidden="false" customHeight="true" outlineLevel="0" collapsed="false">
      <c r="A68" s="22" t="n">
        <v>67</v>
      </c>
      <c r="B68" s="25"/>
      <c r="C68" s="22"/>
      <c r="D68" s="22"/>
      <c r="E68" s="38"/>
      <c r="F68" s="22"/>
      <c r="G68" s="38"/>
      <c r="H68" s="38"/>
      <c r="I68" s="22"/>
      <c r="J68" s="22"/>
    </row>
    <row r="69" customFormat="false" ht="15" hidden="false" customHeight="true" outlineLevel="0" collapsed="false">
      <c r="A69" s="22" t="n">
        <v>68</v>
      </c>
      <c r="B69" s="25"/>
      <c r="C69" s="22"/>
      <c r="D69" s="22"/>
      <c r="E69" s="38"/>
      <c r="F69" s="22"/>
      <c r="G69" s="38"/>
      <c r="H69" s="38"/>
      <c r="I69" s="22"/>
      <c r="J69" s="22"/>
    </row>
    <row r="70" customFormat="false" ht="15" hidden="false" customHeight="true" outlineLevel="0" collapsed="false">
      <c r="A70" s="22" t="n">
        <v>69</v>
      </c>
      <c r="B70" s="25"/>
      <c r="C70" s="22"/>
      <c r="D70" s="22"/>
      <c r="E70" s="38"/>
      <c r="F70" s="22"/>
      <c r="G70" s="38"/>
      <c r="H70" s="38"/>
      <c r="I70" s="22"/>
      <c r="J70" s="22"/>
    </row>
    <row r="71" customFormat="false" ht="15" hidden="false" customHeight="true" outlineLevel="0" collapsed="false">
      <c r="A71" s="22" t="n">
        <v>70</v>
      </c>
      <c r="B71" s="25"/>
      <c r="C71" s="22"/>
      <c r="D71" s="22"/>
      <c r="E71" s="38"/>
      <c r="F71" s="22"/>
      <c r="G71" s="38"/>
      <c r="H71" s="38"/>
      <c r="I71" s="22"/>
      <c r="J71" s="22"/>
    </row>
    <row r="72" customFormat="false" ht="15" hidden="false" customHeight="true" outlineLevel="0" collapsed="false">
      <c r="A72" s="22" t="n">
        <v>71</v>
      </c>
      <c r="B72" s="25"/>
      <c r="C72" s="22"/>
      <c r="D72" s="22"/>
      <c r="E72" s="38"/>
      <c r="F72" s="22"/>
      <c r="G72" s="38"/>
      <c r="H72" s="38"/>
      <c r="I72" s="22"/>
      <c r="J72" s="22"/>
    </row>
    <row r="73" customFormat="false" ht="15" hidden="false" customHeight="true" outlineLevel="0" collapsed="false">
      <c r="A73" s="22" t="n">
        <v>72</v>
      </c>
      <c r="B73" s="25"/>
      <c r="C73" s="22"/>
      <c r="D73" s="22"/>
      <c r="E73" s="38"/>
      <c r="F73" s="22"/>
      <c r="G73" s="38"/>
      <c r="H73" s="38"/>
      <c r="I73" s="22"/>
      <c r="J73" s="22"/>
    </row>
    <row r="74" customFormat="false" ht="15" hidden="false" customHeight="true" outlineLevel="0" collapsed="false">
      <c r="A74" s="22" t="n">
        <v>73</v>
      </c>
      <c r="B74" s="25"/>
      <c r="C74" s="22"/>
      <c r="D74" s="22"/>
      <c r="E74" s="38"/>
      <c r="F74" s="22"/>
      <c r="G74" s="38"/>
      <c r="H74" s="38"/>
      <c r="I74" s="22"/>
      <c r="J74" s="22"/>
    </row>
    <row r="75" customFormat="false" ht="15" hidden="false" customHeight="true" outlineLevel="0" collapsed="false">
      <c r="A75" s="22" t="n">
        <v>74</v>
      </c>
      <c r="B75" s="25"/>
      <c r="C75" s="22"/>
      <c r="D75" s="22"/>
      <c r="E75" s="38"/>
      <c r="F75" s="22"/>
      <c r="G75" s="38"/>
      <c r="H75" s="38"/>
      <c r="I75" s="22"/>
      <c r="J75" s="22"/>
    </row>
    <row r="76" customFormat="false" ht="15" hidden="false" customHeight="true" outlineLevel="0" collapsed="false">
      <c r="A76" s="22" t="n">
        <v>75</v>
      </c>
      <c r="B76" s="25"/>
      <c r="C76" s="22"/>
      <c r="D76" s="22"/>
      <c r="E76" s="38"/>
      <c r="F76" s="22"/>
      <c r="G76" s="38"/>
      <c r="H76" s="38"/>
      <c r="I76" s="22"/>
      <c r="J76" s="22"/>
    </row>
    <row r="77" customFormat="false" ht="15" hidden="false" customHeight="true" outlineLevel="0" collapsed="false">
      <c r="A77" s="22" t="n">
        <v>76</v>
      </c>
      <c r="B77" s="25"/>
      <c r="C77" s="22"/>
      <c r="D77" s="22"/>
      <c r="E77" s="38"/>
      <c r="F77" s="22"/>
      <c r="G77" s="38"/>
      <c r="H77" s="38"/>
      <c r="I77" s="22"/>
      <c r="J77" s="22"/>
    </row>
    <row r="78" customFormat="false" ht="15" hidden="false" customHeight="true" outlineLevel="0" collapsed="false">
      <c r="A78" s="22" t="n">
        <v>77</v>
      </c>
      <c r="B78" s="25"/>
      <c r="C78" s="22"/>
      <c r="D78" s="22"/>
      <c r="E78" s="38"/>
      <c r="F78" s="22"/>
      <c r="G78" s="38"/>
      <c r="H78" s="38"/>
      <c r="I78" s="22"/>
      <c r="J78" s="22"/>
    </row>
    <row r="79" customFormat="false" ht="15" hidden="false" customHeight="true" outlineLevel="0" collapsed="false">
      <c r="A79" s="22" t="n">
        <v>78</v>
      </c>
      <c r="B79" s="25"/>
      <c r="C79" s="22"/>
      <c r="D79" s="22"/>
      <c r="E79" s="38"/>
      <c r="F79" s="22"/>
      <c r="G79" s="38"/>
      <c r="H79" s="38"/>
      <c r="I79" s="22"/>
      <c r="J79" s="22"/>
    </row>
    <row r="80" customFormat="false" ht="15" hidden="false" customHeight="true" outlineLevel="0" collapsed="false">
      <c r="A80" s="22" t="n">
        <v>79</v>
      </c>
      <c r="B80" s="25"/>
      <c r="C80" s="22"/>
      <c r="D80" s="22"/>
      <c r="E80" s="38"/>
      <c r="F80" s="22"/>
      <c r="G80" s="38"/>
      <c r="H80" s="38"/>
      <c r="I80" s="22"/>
      <c r="J80" s="22"/>
    </row>
    <row r="81" customFormat="false" ht="15" hidden="false" customHeight="true" outlineLevel="0" collapsed="false">
      <c r="A81" s="22" t="n">
        <v>80</v>
      </c>
      <c r="B81" s="25"/>
      <c r="C81" s="22"/>
      <c r="D81" s="22"/>
      <c r="E81" s="38"/>
      <c r="F81" s="22"/>
      <c r="G81" s="38"/>
      <c r="H81" s="38"/>
      <c r="I81" s="22"/>
      <c r="J81" s="22"/>
    </row>
    <row r="82" customFormat="false" ht="15" hidden="false" customHeight="true" outlineLevel="0" collapsed="false">
      <c r="A82" s="22" t="n">
        <v>81</v>
      </c>
      <c r="B82" s="25"/>
      <c r="C82" s="22"/>
      <c r="D82" s="22"/>
      <c r="E82" s="38"/>
      <c r="F82" s="22"/>
      <c r="G82" s="38"/>
      <c r="H82" s="38"/>
      <c r="I82" s="22"/>
      <c r="J82" s="22"/>
    </row>
    <row r="83" customFormat="false" ht="15" hidden="false" customHeight="true" outlineLevel="0" collapsed="false">
      <c r="A83" s="22" t="n">
        <v>82</v>
      </c>
      <c r="B83" s="25"/>
      <c r="C83" s="22"/>
      <c r="D83" s="22"/>
      <c r="E83" s="38"/>
      <c r="F83" s="22"/>
      <c r="G83" s="38"/>
      <c r="H83" s="38"/>
      <c r="I83" s="22"/>
      <c r="J83" s="22"/>
    </row>
    <row r="84" customFormat="false" ht="15" hidden="false" customHeight="true" outlineLevel="0" collapsed="false">
      <c r="A84" s="22" t="n">
        <v>83</v>
      </c>
      <c r="B84" s="25"/>
      <c r="C84" s="22"/>
      <c r="D84" s="22"/>
      <c r="E84" s="38"/>
      <c r="F84" s="22"/>
      <c r="G84" s="38"/>
      <c r="H84" s="38"/>
      <c r="I84" s="22"/>
      <c r="J84" s="22"/>
    </row>
    <row r="85" customFormat="false" ht="15" hidden="false" customHeight="true" outlineLevel="0" collapsed="false">
      <c r="A85" s="22" t="n">
        <v>84</v>
      </c>
      <c r="B85" s="25"/>
      <c r="C85" s="22"/>
      <c r="D85" s="22"/>
      <c r="E85" s="38"/>
      <c r="F85" s="22"/>
      <c r="G85" s="38"/>
      <c r="H85" s="38"/>
      <c r="I85" s="22"/>
      <c r="J85" s="22"/>
    </row>
    <row r="86" customFormat="false" ht="15" hidden="false" customHeight="true" outlineLevel="0" collapsed="false">
      <c r="A86" s="22" t="n">
        <v>85</v>
      </c>
      <c r="B86" s="25"/>
      <c r="C86" s="22"/>
      <c r="D86" s="22"/>
      <c r="E86" s="38"/>
      <c r="F86" s="22"/>
      <c r="G86" s="38"/>
      <c r="H86" s="38"/>
      <c r="I86" s="22"/>
      <c r="J86" s="22"/>
    </row>
    <row r="87" customFormat="false" ht="15" hidden="false" customHeight="true" outlineLevel="0" collapsed="false">
      <c r="A87" s="22" t="n">
        <v>86</v>
      </c>
      <c r="B87" s="25"/>
      <c r="C87" s="22"/>
      <c r="D87" s="22"/>
      <c r="E87" s="38"/>
      <c r="F87" s="22"/>
      <c r="G87" s="38"/>
      <c r="H87" s="38"/>
      <c r="I87" s="22"/>
      <c r="J87" s="22"/>
    </row>
    <row r="88" customFormat="false" ht="15" hidden="false" customHeight="true" outlineLevel="0" collapsed="false">
      <c r="A88" s="22" t="n">
        <v>87</v>
      </c>
      <c r="B88" s="25"/>
      <c r="C88" s="22"/>
      <c r="D88" s="22"/>
      <c r="E88" s="38"/>
      <c r="F88" s="22"/>
      <c r="G88" s="38"/>
      <c r="H88" s="38"/>
      <c r="I88" s="22"/>
      <c r="J88" s="22"/>
    </row>
    <row r="89" customFormat="false" ht="15" hidden="false" customHeight="true" outlineLevel="0" collapsed="false">
      <c r="A89" s="22" t="n">
        <v>88</v>
      </c>
      <c r="B89" s="25"/>
      <c r="C89" s="22"/>
      <c r="D89" s="22"/>
      <c r="E89" s="38"/>
      <c r="F89" s="22"/>
      <c r="G89" s="38"/>
      <c r="H89" s="38"/>
      <c r="I89" s="22"/>
      <c r="J89" s="22"/>
    </row>
    <row r="90" customFormat="false" ht="15" hidden="false" customHeight="true" outlineLevel="0" collapsed="false">
      <c r="A90" s="22" t="n">
        <v>89</v>
      </c>
      <c r="B90" s="25"/>
      <c r="C90" s="22"/>
      <c r="D90" s="22"/>
      <c r="E90" s="38"/>
      <c r="F90" s="22"/>
      <c r="G90" s="38"/>
      <c r="H90" s="38"/>
      <c r="I90" s="22"/>
      <c r="J90" s="22"/>
    </row>
    <row r="91" customFormat="false" ht="15" hidden="false" customHeight="true" outlineLevel="0" collapsed="false">
      <c r="A91" s="22" t="n">
        <v>90</v>
      </c>
      <c r="B91" s="25"/>
      <c r="C91" s="22"/>
      <c r="D91" s="22"/>
      <c r="E91" s="38"/>
      <c r="F91" s="22"/>
      <c r="G91" s="38"/>
      <c r="H91" s="38"/>
      <c r="I91" s="22"/>
      <c r="J91" s="22"/>
    </row>
    <row r="92" customFormat="false" ht="15" hidden="false" customHeight="true" outlineLevel="0" collapsed="false">
      <c r="A92" s="22" t="n">
        <v>91</v>
      </c>
      <c r="B92" s="25"/>
      <c r="C92" s="22"/>
      <c r="D92" s="22"/>
      <c r="E92" s="38"/>
      <c r="F92" s="22"/>
      <c r="G92" s="38"/>
      <c r="H92" s="38"/>
      <c r="I92" s="22"/>
      <c r="J92" s="22"/>
    </row>
    <row r="93" customFormat="false" ht="15" hidden="false" customHeight="true" outlineLevel="0" collapsed="false">
      <c r="A93" s="22" t="n">
        <v>92</v>
      </c>
      <c r="B93" s="25"/>
      <c r="C93" s="22"/>
      <c r="D93" s="22"/>
      <c r="E93" s="38"/>
      <c r="F93" s="22"/>
      <c r="G93" s="38"/>
      <c r="H93" s="38"/>
      <c r="I93" s="22"/>
      <c r="J93" s="22"/>
    </row>
    <row r="94" customFormat="false" ht="15" hidden="false" customHeight="true" outlineLevel="0" collapsed="false">
      <c r="A94" s="22" t="n">
        <v>93</v>
      </c>
      <c r="B94" s="25"/>
      <c r="C94" s="22"/>
      <c r="D94" s="22"/>
      <c r="E94" s="38"/>
      <c r="F94" s="22"/>
      <c r="G94" s="38"/>
      <c r="H94" s="38"/>
      <c r="I94" s="22"/>
      <c r="J94" s="22"/>
    </row>
    <row r="95" customFormat="false" ht="15" hidden="false" customHeight="true" outlineLevel="0" collapsed="false">
      <c r="A95" s="22" t="n">
        <v>94</v>
      </c>
      <c r="B95" s="25"/>
      <c r="C95" s="22"/>
      <c r="D95" s="22"/>
      <c r="E95" s="38"/>
      <c r="F95" s="22"/>
      <c r="G95" s="38"/>
      <c r="H95" s="38"/>
      <c r="I95" s="22"/>
      <c r="J95" s="22"/>
    </row>
    <row r="96" customFormat="false" ht="15" hidden="false" customHeight="true" outlineLevel="0" collapsed="false">
      <c r="A96" s="22" t="n">
        <v>95</v>
      </c>
      <c r="B96" s="25"/>
      <c r="C96" s="22"/>
      <c r="D96" s="22"/>
      <c r="E96" s="38"/>
      <c r="F96" s="22"/>
      <c r="G96" s="38"/>
      <c r="H96" s="38"/>
      <c r="I96" s="22"/>
      <c r="J96" s="22"/>
    </row>
    <row r="97" customFormat="false" ht="15" hidden="false" customHeight="true" outlineLevel="0" collapsed="false">
      <c r="A97" s="22" t="n">
        <v>96</v>
      </c>
      <c r="B97" s="25"/>
      <c r="C97" s="22"/>
      <c r="D97" s="22"/>
      <c r="E97" s="38"/>
      <c r="F97" s="22"/>
      <c r="G97" s="38"/>
      <c r="H97" s="38"/>
      <c r="I97" s="22"/>
      <c r="J97" s="22"/>
    </row>
    <row r="98" customFormat="false" ht="15" hidden="false" customHeight="true" outlineLevel="0" collapsed="false">
      <c r="A98" s="22" t="n">
        <v>97</v>
      </c>
      <c r="B98" s="25"/>
      <c r="C98" s="22"/>
      <c r="D98" s="22"/>
      <c r="E98" s="38"/>
      <c r="F98" s="22"/>
      <c r="G98" s="38"/>
      <c r="H98" s="38"/>
      <c r="I98" s="22"/>
      <c r="J98" s="22"/>
    </row>
    <row r="99" customFormat="false" ht="15" hidden="false" customHeight="true" outlineLevel="0" collapsed="false">
      <c r="A99" s="22" t="n">
        <v>98</v>
      </c>
      <c r="B99" s="25"/>
      <c r="C99" s="22"/>
      <c r="D99" s="22"/>
      <c r="E99" s="38"/>
      <c r="F99" s="22"/>
      <c r="G99" s="38"/>
      <c r="H99" s="38"/>
      <c r="I99" s="22"/>
      <c r="J99" s="22"/>
    </row>
    <row r="100" customFormat="false" ht="15" hidden="false" customHeight="true" outlineLevel="0" collapsed="false">
      <c r="A100" s="22" t="n">
        <v>99</v>
      </c>
      <c r="B100" s="25"/>
      <c r="C100" s="22"/>
      <c r="D100" s="22"/>
      <c r="E100" s="38"/>
      <c r="F100" s="22"/>
      <c r="G100" s="38"/>
      <c r="H100" s="38"/>
      <c r="I100" s="22"/>
      <c r="J100" s="22"/>
    </row>
    <row r="102" customFormat="false" ht="15" hidden="false" customHeight="true" outlineLevel="0" collapsed="false">
      <c r="C102" s="3" t="s">
        <v>1007</v>
      </c>
      <c r="H102" s="39" t="n">
        <f aca="false">SUM(H3:H100)</f>
        <v>0</v>
      </c>
    </row>
    <row r="103" customFormat="false" ht="15" hidden="false" customHeight="true" outlineLevel="0" collapsed="false">
      <c r="C103" s="5" t="s">
        <v>1008</v>
      </c>
    </row>
  </sheetData>
  <dataValidations count="3">
    <dataValidation allowBlank="true" errorStyle="stop" operator="between" showDropDown="false" showErrorMessage="false" showInputMessage="false" sqref="D2:D100" type="list">
      <formula1>"1 Django/DRF API work,2 Backend performance audit,3 Automation / AI scripts"</formula1>
      <formula2>0</formula2>
    </dataValidation>
    <dataValidation allowBlank="true" errorStyle="stop" operator="between" showDropDown="false" showErrorMessage="false" showInputMessage="false" sqref="F2:F100" type="list">
      <formula1>"Lead,Contacted,Call done,Proposal sent,Won,In progress,Paid,Lost"</formula1>
      <formula2>0</formula2>
    </dataValidation>
    <dataValidation allowBlank="true" errorStyle="stop" operator="between" showDropDown="false" showErrorMessage="false" showInputMessage="false" sqref="I2:I1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2" min="11" style="1" width="11"/>
    <col collapsed="false" customWidth="true" hidden="false" outlineLevel="0" max="13" min="13" style="1" width="12"/>
  </cols>
  <sheetData>
    <row r="1" customFormat="false" ht="45" hidden="false" customHeight="true" outlineLevel="0" collapsed="false">
      <c r="A1" s="21" t="s">
        <v>930</v>
      </c>
      <c r="B1" s="21" t="s">
        <v>1009</v>
      </c>
      <c r="C1" s="21" t="s">
        <v>1010</v>
      </c>
      <c r="D1" s="21" t="s">
        <v>1011</v>
      </c>
      <c r="E1" s="21" t="s">
        <v>937</v>
      </c>
      <c r="F1" s="21" t="s">
        <v>1012</v>
      </c>
      <c r="G1" s="21" t="s">
        <v>1013</v>
      </c>
      <c r="H1" s="21" t="s">
        <v>1014</v>
      </c>
      <c r="I1" s="21" t="s">
        <v>1015</v>
      </c>
      <c r="J1" s="21" t="s">
        <v>1016</v>
      </c>
      <c r="K1" s="21" t="s">
        <v>1017</v>
      </c>
      <c r="L1" s="21" t="s">
        <v>1018</v>
      </c>
      <c r="M1" s="21" t="s">
        <v>1019</v>
      </c>
    </row>
    <row r="2" customFormat="false" ht="15" hidden="false" customHeight="true" outlineLevel="0" collapsed="false">
      <c r="A2" s="40" t="s">
        <v>945</v>
      </c>
      <c r="B2" s="41"/>
      <c r="C2" s="41"/>
      <c r="D2" s="42" t="n">
        <v>10</v>
      </c>
      <c r="E2" s="42" t="n">
        <v>25</v>
      </c>
      <c r="F2" s="42" t="n">
        <v>15</v>
      </c>
      <c r="G2" s="42" t="n">
        <v>3</v>
      </c>
      <c r="H2" s="42" t="n">
        <v>1</v>
      </c>
      <c r="I2" s="41"/>
      <c r="J2" s="41"/>
      <c r="K2" s="42" t="n">
        <v>5</v>
      </c>
      <c r="L2" s="42" t="n">
        <v>3</v>
      </c>
      <c r="M2" s="41"/>
    </row>
    <row r="3" customFormat="false" ht="15" hidden="false" customHeight="true" outlineLevel="0" collapsed="false">
      <c r="A3" s="43" t="n">
        <v>1</v>
      </c>
      <c r="B3" s="44" t="n">
        <f aca="false">'Start Here'!$B$3+7*(A3-1)</f>
        <v>46309</v>
      </c>
      <c r="C3" s="44" t="n">
        <f aca="false">B3+6</f>
        <v>46315</v>
      </c>
      <c r="D3" s="43" t="n">
        <f aca="false">COUNTIFS(Applications!$B$3:$B$300,"&gt;="&amp;B3,Applications!$B$3:$B$300,"&lt;="&amp;C3)</f>
        <v>0</v>
      </c>
      <c r="E3" s="43" t="n">
        <f aca="false">COUNTIFS(Outreach!$B$3:$B$300,"&gt;="&amp;B3,Outreach!$B$3:$B$300,"&lt;="&amp;C3)</f>
        <v>0</v>
      </c>
      <c r="F3" s="43" t="n">
        <f aca="false">COUNTIFS(Applications!$J$3:$J$300,"&gt;="&amp;B3,Applications!$J$3:$J$300,"&lt;="&amp;C3)+COUNTIFS(Applications!$K$3:$K$300,"&gt;="&amp;B3,Applications!$K$3:$K$300,"&lt;="&amp;C3)+COUNTIFS(Outreach!$H$3:$H$300,"&gt;="&amp;B3,Outreach!$H$3:$H$300,"&lt;="&amp;C3)+COUNTIFS(Outreach!$I$3:$I$300,"&gt;="&amp;B3,Outreach!$I$3:$I$300,"&lt;="&amp;C3)</f>
        <v>0</v>
      </c>
      <c r="G3" s="43" t="n">
        <f aca="false">COUNTIFS(Outreach!$B$3:$B$300,"&gt;="&amp;B3,Outreach!$B$3:$B$300,"&lt;="&amp;C3,Outreach!$G$3:$G$300,"Yes",Outreach!$D$3:$D$300,"Referral")+COUNTIFS(Outreach!$B$3:$B$300,"&gt;="&amp;B3,Outreach!$B$3:$B$300,"&lt;="&amp;C3,Outreach!$G$3:$G$300,"Yes",Outreach!$D$3:$D$300,"Recruiter")</f>
        <v>0</v>
      </c>
      <c r="H3" s="43" t="n">
        <f aca="false">COUNTIFS(Applications!$L$3:$L$300,"&gt;="&amp;B3,Applications!$L$3:$L$300,"&lt;="&amp;C3)</f>
        <v>0</v>
      </c>
      <c r="I3" s="43" t="n">
        <f aca="false">COUNTIFS('Freelance Pipeline'!$F$3:$F$100,"Paid",'Freelance Pipeline'!$B$3:$B$100,"&gt;="&amp;B3,'Freelance Pipeline'!$B$3:$B$100,"&lt;="&amp;C3)</f>
        <v>0</v>
      </c>
      <c r="J3" s="45" t="n">
        <f aca="false">SUMIFS('Freelance Pipeline'!$H$3:$H$100,'Freelance Pipeline'!$B$3:$B$100,"&gt;="&amp;B3,'Freelance Pipeline'!$B$3:$B$100,"&lt;="&amp;C3)</f>
        <v>0</v>
      </c>
      <c r="K3" s="42"/>
      <c r="L3" s="42"/>
      <c r="M3" s="46" t="n">
        <f aca="false">(D3&gt;=$D$2)+(E3&gt;=$E$2)+(F3&gt;=$F$2)+(G3&gt;=$G$2)+(H3&gt;=$H$2)+(K3&gt;=$K$2)</f>
        <v>0</v>
      </c>
    </row>
    <row r="4" customFormat="false" ht="15" hidden="false" customHeight="true" outlineLevel="0" collapsed="false">
      <c r="A4" s="43" t="n">
        <v>2</v>
      </c>
      <c r="B4" s="44" t="n">
        <f aca="false">'Start Here'!$B$3+7*(A4-1)</f>
        <v>46316</v>
      </c>
      <c r="C4" s="44" t="n">
        <f aca="false">B4+6</f>
        <v>46322</v>
      </c>
      <c r="D4" s="43" t="n">
        <f aca="false">COUNTIFS(Applications!$B$3:$B$300,"&gt;="&amp;B4,Applications!$B$3:$B$300,"&lt;="&amp;C4)</f>
        <v>0</v>
      </c>
      <c r="E4" s="43" t="n">
        <f aca="false">COUNTIFS(Outreach!$B$3:$B$300,"&gt;="&amp;B4,Outreach!$B$3:$B$300,"&lt;="&amp;C4)</f>
        <v>0</v>
      </c>
      <c r="F4" s="43" t="n">
        <f aca="false">COUNTIFS(Applications!$J$3:$J$300,"&gt;="&amp;B4,Applications!$J$3:$J$300,"&lt;="&amp;C4)+COUNTIFS(Applications!$K$3:$K$300,"&gt;="&amp;B4,Applications!$K$3:$K$300,"&lt;="&amp;C4)+COUNTIFS(Outreach!$H$3:$H$300,"&gt;="&amp;B4,Outreach!$H$3:$H$300,"&lt;="&amp;C4)+COUNTIFS(Outreach!$I$3:$I$300,"&gt;="&amp;B4,Outreach!$I$3:$I$300,"&lt;="&amp;C4)</f>
        <v>0</v>
      </c>
      <c r="G4" s="43" t="n">
        <f aca="false">COUNTIFS(Outreach!$B$3:$B$300,"&gt;="&amp;B4,Outreach!$B$3:$B$300,"&lt;="&amp;C4,Outreach!$G$3:$G$300,"Yes",Outreach!$D$3:$D$300,"Referral")+COUNTIFS(Outreach!$B$3:$B$300,"&gt;="&amp;B4,Outreach!$B$3:$B$300,"&lt;="&amp;C4,Outreach!$G$3:$G$300,"Yes",Outreach!$D$3:$D$300,"Recruiter")</f>
        <v>0</v>
      </c>
      <c r="H4" s="43" t="n">
        <f aca="false">COUNTIFS(Applications!$L$3:$L$300,"&gt;="&amp;B4,Applications!$L$3:$L$300,"&lt;="&amp;C4)</f>
        <v>0</v>
      </c>
      <c r="I4" s="43" t="n">
        <f aca="false">COUNTIFS('Freelance Pipeline'!$F$3:$F$100,"Paid",'Freelance Pipeline'!$B$3:$B$100,"&gt;="&amp;B4,'Freelance Pipeline'!$B$3:$B$100,"&lt;="&amp;C4)</f>
        <v>0</v>
      </c>
      <c r="J4" s="45" t="n">
        <f aca="false">SUMIFS('Freelance Pipeline'!$H$3:$H$100,'Freelance Pipeline'!$B$3:$B$100,"&gt;="&amp;B4,'Freelance Pipeline'!$B$3:$B$100,"&lt;="&amp;C4)</f>
        <v>0</v>
      </c>
      <c r="K4" s="42"/>
      <c r="L4" s="42"/>
      <c r="M4" s="46" t="n">
        <f aca="false">(D4&gt;=$D$2)+(E4&gt;=$E$2)+(F4&gt;=$F$2)+(G4&gt;=$G$2)+(H4&gt;=$H$2)+(K4&gt;=$K$2)</f>
        <v>0</v>
      </c>
    </row>
    <row r="5" customFormat="false" ht="15" hidden="false" customHeight="true" outlineLevel="0" collapsed="false">
      <c r="A5" s="43" t="n">
        <v>3</v>
      </c>
      <c r="B5" s="44" t="n">
        <f aca="false">'Start Here'!$B$3+7*(A5-1)</f>
        <v>46323</v>
      </c>
      <c r="C5" s="44" t="n">
        <f aca="false">B5+6</f>
        <v>46329</v>
      </c>
      <c r="D5" s="43" t="n">
        <f aca="false">COUNTIFS(Applications!$B$3:$B$300,"&gt;="&amp;B5,Applications!$B$3:$B$300,"&lt;="&amp;C5)</f>
        <v>0</v>
      </c>
      <c r="E5" s="43" t="n">
        <f aca="false">COUNTIFS(Outreach!$B$3:$B$300,"&gt;="&amp;B5,Outreach!$B$3:$B$300,"&lt;="&amp;C5)</f>
        <v>0</v>
      </c>
      <c r="F5" s="43" t="n">
        <f aca="false">COUNTIFS(Applications!$J$3:$J$300,"&gt;="&amp;B5,Applications!$J$3:$J$300,"&lt;="&amp;C5)+COUNTIFS(Applications!$K$3:$K$300,"&gt;="&amp;B5,Applications!$K$3:$K$300,"&lt;="&amp;C5)+COUNTIFS(Outreach!$H$3:$H$300,"&gt;="&amp;B5,Outreach!$H$3:$H$300,"&lt;="&amp;C5)+COUNTIFS(Outreach!$I$3:$I$300,"&gt;="&amp;B5,Outreach!$I$3:$I$300,"&lt;="&amp;C5)</f>
        <v>0</v>
      </c>
      <c r="G5" s="43" t="n">
        <f aca="false">COUNTIFS(Outreach!$B$3:$B$300,"&gt;="&amp;B5,Outreach!$B$3:$B$300,"&lt;="&amp;C5,Outreach!$G$3:$G$300,"Yes",Outreach!$D$3:$D$300,"Referral")+COUNTIFS(Outreach!$B$3:$B$300,"&gt;="&amp;B5,Outreach!$B$3:$B$300,"&lt;="&amp;C5,Outreach!$G$3:$G$300,"Yes",Outreach!$D$3:$D$300,"Recruiter")</f>
        <v>0</v>
      </c>
      <c r="H5" s="43" t="n">
        <f aca="false">COUNTIFS(Applications!$L$3:$L$300,"&gt;="&amp;B5,Applications!$L$3:$L$300,"&lt;="&amp;C5)</f>
        <v>0</v>
      </c>
      <c r="I5" s="43" t="n">
        <f aca="false">COUNTIFS('Freelance Pipeline'!$F$3:$F$100,"Paid",'Freelance Pipeline'!$B$3:$B$100,"&gt;="&amp;B5,'Freelance Pipeline'!$B$3:$B$100,"&lt;="&amp;C5)</f>
        <v>0</v>
      </c>
      <c r="J5" s="45" t="n">
        <f aca="false">SUMIFS('Freelance Pipeline'!$H$3:$H$100,'Freelance Pipeline'!$B$3:$B$100,"&gt;="&amp;B5,'Freelance Pipeline'!$B$3:$B$100,"&lt;="&amp;C5)</f>
        <v>0</v>
      </c>
      <c r="K5" s="42"/>
      <c r="L5" s="42"/>
      <c r="M5" s="46" t="n">
        <f aca="false">(D5&gt;=$D$2)+(E5&gt;=$E$2)+(F5&gt;=$F$2)+(G5&gt;=$G$2)+(H5&gt;=$H$2)+(K5&gt;=$K$2)</f>
        <v>0</v>
      </c>
    </row>
    <row r="6" customFormat="false" ht="15" hidden="false" customHeight="true" outlineLevel="0" collapsed="false">
      <c r="A6" s="43" t="n">
        <v>4</v>
      </c>
      <c r="B6" s="44" t="n">
        <f aca="false">'Start Here'!$B$3+7*(A6-1)</f>
        <v>46330</v>
      </c>
      <c r="C6" s="44" t="n">
        <f aca="false">B6+6</f>
        <v>46336</v>
      </c>
      <c r="D6" s="43" t="n">
        <f aca="false">COUNTIFS(Applications!$B$3:$B$300,"&gt;="&amp;B6,Applications!$B$3:$B$300,"&lt;="&amp;C6)</f>
        <v>0</v>
      </c>
      <c r="E6" s="43" t="n">
        <f aca="false">COUNTIFS(Outreach!$B$3:$B$300,"&gt;="&amp;B6,Outreach!$B$3:$B$300,"&lt;="&amp;C6)</f>
        <v>0</v>
      </c>
      <c r="F6" s="43" t="n">
        <f aca="false">COUNTIFS(Applications!$J$3:$J$300,"&gt;="&amp;B6,Applications!$J$3:$J$300,"&lt;="&amp;C6)+COUNTIFS(Applications!$K$3:$K$300,"&gt;="&amp;B6,Applications!$K$3:$K$300,"&lt;="&amp;C6)+COUNTIFS(Outreach!$H$3:$H$300,"&gt;="&amp;B6,Outreach!$H$3:$H$300,"&lt;="&amp;C6)+COUNTIFS(Outreach!$I$3:$I$300,"&gt;="&amp;B6,Outreach!$I$3:$I$300,"&lt;="&amp;C6)</f>
        <v>0</v>
      </c>
      <c r="G6" s="43" t="n">
        <f aca="false">COUNTIFS(Outreach!$B$3:$B$300,"&gt;="&amp;B6,Outreach!$B$3:$B$300,"&lt;="&amp;C6,Outreach!$G$3:$G$300,"Yes",Outreach!$D$3:$D$300,"Referral")+COUNTIFS(Outreach!$B$3:$B$300,"&gt;="&amp;B6,Outreach!$B$3:$B$300,"&lt;="&amp;C6,Outreach!$G$3:$G$300,"Yes",Outreach!$D$3:$D$300,"Recruiter")</f>
        <v>0</v>
      </c>
      <c r="H6" s="43" t="n">
        <f aca="false">COUNTIFS(Applications!$L$3:$L$300,"&gt;="&amp;B6,Applications!$L$3:$L$300,"&lt;="&amp;C6)</f>
        <v>0</v>
      </c>
      <c r="I6" s="43" t="n">
        <f aca="false">COUNTIFS('Freelance Pipeline'!$F$3:$F$100,"Paid",'Freelance Pipeline'!$B$3:$B$100,"&gt;="&amp;B6,'Freelance Pipeline'!$B$3:$B$100,"&lt;="&amp;C6)</f>
        <v>0</v>
      </c>
      <c r="J6" s="45" t="n">
        <f aca="false">SUMIFS('Freelance Pipeline'!$H$3:$H$100,'Freelance Pipeline'!$B$3:$B$100,"&gt;="&amp;B6,'Freelance Pipeline'!$B$3:$B$100,"&lt;="&amp;C6)</f>
        <v>0</v>
      </c>
      <c r="K6" s="42"/>
      <c r="L6" s="42"/>
      <c r="M6" s="46" t="n">
        <f aca="false">(D6&gt;=$D$2)+(E6&gt;=$E$2)+(F6&gt;=$F$2)+(G6&gt;=$G$2)+(H6&gt;=$H$2)+(K6&gt;=$K$2)</f>
        <v>0</v>
      </c>
    </row>
    <row r="7" customFormat="false" ht="15" hidden="false" customHeight="true" outlineLevel="0" collapsed="false">
      <c r="A7" s="43" t="n">
        <v>5</v>
      </c>
      <c r="B7" s="44" t="n">
        <f aca="false">'Start Here'!$B$3+7*(A7-1)</f>
        <v>46337</v>
      </c>
      <c r="C7" s="44" t="n">
        <f aca="false">B7+6</f>
        <v>46343</v>
      </c>
      <c r="D7" s="43" t="n">
        <f aca="false">COUNTIFS(Applications!$B$3:$B$300,"&gt;="&amp;B7,Applications!$B$3:$B$300,"&lt;="&amp;C7)</f>
        <v>0</v>
      </c>
      <c r="E7" s="43" t="n">
        <f aca="false">COUNTIFS(Outreach!$B$3:$B$300,"&gt;="&amp;B7,Outreach!$B$3:$B$300,"&lt;="&amp;C7)</f>
        <v>0</v>
      </c>
      <c r="F7" s="43" t="n">
        <f aca="false">COUNTIFS(Applications!$J$3:$J$300,"&gt;="&amp;B7,Applications!$J$3:$J$300,"&lt;="&amp;C7)+COUNTIFS(Applications!$K$3:$K$300,"&gt;="&amp;B7,Applications!$K$3:$K$300,"&lt;="&amp;C7)+COUNTIFS(Outreach!$H$3:$H$300,"&gt;="&amp;B7,Outreach!$H$3:$H$300,"&lt;="&amp;C7)+COUNTIFS(Outreach!$I$3:$I$300,"&gt;="&amp;B7,Outreach!$I$3:$I$300,"&lt;="&amp;C7)</f>
        <v>0</v>
      </c>
      <c r="G7" s="43" t="n">
        <f aca="false">COUNTIFS(Outreach!$B$3:$B$300,"&gt;="&amp;B7,Outreach!$B$3:$B$300,"&lt;="&amp;C7,Outreach!$G$3:$G$300,"Yes",Outreach!$D$3:$D$300,"Referral")+COUNTIFS(Outreach!$B$3:$B$300,"&gt;="&amp;B7,Outreach!$B$3:$B$300,"&lt;="&amp;C7,Outreach!$G$3:$G$300,"Yes",Outreach!$D$3:$D$300,"Recruiter")</f>
        <v>0</v>
      </c>
      <c r="H7" s="43" t="n">
        <f aca="false">COUNTIFS(Applications!$L$3:$L$300,"&gt;="&amp;B7,Applications!$L$3:$L$300,"&lt;="&amp;C7)</f>
        <v>0</v>
      </c>
      <c r="I7" s="43" t="n">
        <f aca="false">COUNTIFS('Freelance Pipeline'!$F$3:$F$100,"Paid",'Freelance Pipeline'!$B$3:$B$100,"&gt;="&amp;B7,'Freelance Pipeline'!$B$3:$B$100,"&lt;="&amp;C7)</f>
        <v>0</v>
      </c>
      <c r="J7" s="45" t="n">
        <f aca="false">SUMIFS('Freelance Pipeline'!$H$3:$H$100,'Freelance Pipeline'!$B$3:$B$100,"&gt;="&amp;B7,'Freelance Pipeline'!$B$3:$B$100,"&lt;="&amp;C7)</f>
        <v>0</v>
      </c>
      <c r="K7" s="42"/>
      <c r="L7" s="42"/>
      <c r="M7" s="46" t="n">
        <f aca="false">(D7&gt;=$D$2)+(E7&gt;=$E$2)+(F7&gt;=$F$2)+(G7&gt;=$G$2)+(H7&gt;=$H$2)+(K7&gt;=$K$2)</f>
        <v>0</v>
      </c>
    </row>
    <row r="8" customFormat="false" ht="15" hidden="false" customHeight="true" outlineLevel="0" collapsed="false">
      <c r="A8" s="43" t="n">
        <v>6</v>
      </c>
      <c r="B8" s="44" t="n">
        <f aca="false">'Start Here'!$B$3+7*(A8-1)</f>
        <v>46344</v>
      </c>
      <c r="C8" s="44" t="n">
        <f aca="false">B8+6</f>
        <v>46350</v>
      </c>
      <c r="D8" s="43" t="n">
        <f aca="false">COUNTIFS(Applications!$B$3:$B$300,"&gt;="&amp;B8,Applications!$B$3:$B$300,"&lt;="&amp;C8)</f>
        <v>0</v>
      </c>
      <c r="E8" s="43" t="n">
        <f aca="false">COUNTIFS(Outreach!$B$3:$B$300,"&gt;="&amp;B8,Outreach!$B$3:$B$300,"&lt;="&amp;C8)</f>
        <v>0</v>
      </c>
      <c r="F8" s="43" t="n">
        <f aca="false">COUNTIFS(Applications!$J$3:$J$300,"&gt;="&amp;B8,Applications!$J$3:$J$300,"&lt;="&amp;C8)+COUNTIFS(Applications!$K$3:$K$300,"&gt;="&amp;B8,Applications!$K$3:$K$300,"&lt;="&amp;C8)+COUNTIFS(Outreach!$H$3:$H$300,"&gt;="&amp;B8,Outreach!$H$3:$H$300,"&lt;="&amp;C8)+COUNTIFS(Outreach!$I$3:$I$300,"&gt;="&amp;B8,Outreach!$I$3:$I$300,"&lt;="&amp;C8)</f>
        <v>0</v>
      </c>
      <c r="G8" s="43" t="n">
        <f aca="false">COUNTIFS(Outreach!$B$3:$B$300,"&gt;="&amp;B8,Outreach!$B$3:$B$300,"&lt;="&amp;C8,Outreach!$G$3:$G$300,"Yes",Outreach!$D$3:$D$300,"Referral")+COUNTIFS(Outreach!$B$3:$B$300,"&gt;="&amp;B8,Outreach!$B$3:$B$300,"&lt;="&amp;C8,Outreach!$G$3:$G$300,"Yes",Outreach!$D$3:$D$300,"Recruiter")</f>
        <v>0</v>
      </c>
      <c r="H8" s="43" t="n">
        <f aca="false">COUNTIFS(Applications!$L$3:$L$300,"&gt;="&amp;B8,Applications!$L$3:$L$300,"&lt;="&amp;C8)</f>
        <v>0</v>
      </c>
      <c r="I8" s="43" t="n">
        <f aca="false">COUNTIFS('Freelance Pipeline'!$F$3:$F$100,"Paid",'Freelance Pipeline'!$B$3:$B$100,"&gt;="&amp;B8,'Freelance Pipeline'!$B$3:$B$100,"&lt;="&amp;C8)</f>
        <v>0</v>
      </c>
      <c r="J8" s="45" t="n">
        <f aca="false">SUMIFS('Freelance Pipeline'!$H$3:$H$100,'Freelance Pipeline'!$B$3:$B$100,"&gt;="&amp;B8,'Freelance Pipeline'!$B$3:$B$100,"&lt;="&amp;C8)</f>
        <v>0</v>
      </c>
      <c r="K8" s="42"/>
      <c r="L8" s="42"/>
      <c r="M8" s="46" t="n">
        <f aca="false">(D8&gt;=$D$2)+(E8&gt;=$E$2)+(F8&gt;=$F$2)+(G8&gt;=$G$2)+(H8&gt;=$H$2)+(K8&gt;=$K$2)</f>
        <v>0</v>
      </c>
    </row>
    <row r="9" customFormat="false" ht="15" hidden="false" customHeight="true" outlineLevel="0" collapsed="false">
      <c r="A9" s="43" t="n">
        <v>7</v>
      </c>
      <c r="B9" s="44" t="n">
        <f aca="false">'Start Here'!$B$3+7*(A9-1)</f>
        <v>46351</v>
      </c>
      <c r="C9" s="44" t="n">
        <f aca="false">B9+6</f>
        <v>46357</v>
      </c>
      <c r="D9" s="43" t="n">
        <f aca="false">COUNTIFS(Applications!$B$3:$B$300,"&gt;="&amp;B9,Applications!$B$3:$B$300,"&lt;="&amp;C9)</f>
        <v>0</v>
      </c>
      <c r="E9" s="43" t="n">
        <f aca="false">COUNTIFS(Outreach!$B$3:$B$300,"&gt;="&amp;B9,Outreach!$B$3:$B$300,"&lt;="&amp;C9)</f>
        <v>0</v>
      </c>
      <c r="F9" s="43" t="n">
        <f aca="false">COUNTIFS(Applications!$J$3:$J$300,"&gt;="&amp;B9,Applications!$J$3:$J$300,"&lt;="&amp;C9)+COUNTIFS(Applications!$K$3:$K$300,"&gt;="&amp;B9,Applications!$K$3:$K$300,"&lt;="&amp;C9)+COUNTIFS(Outreach!$H$3:$H$300,"&gt;="&amp;B9,Outreach!$H$3:$H$300,"&lt;="&amp;C9)+COUNTIFS(Outreach!$I$3:$I$300,"&gt;="&amp;B9,Outreach!$I$3:$I$300,"&lt;="&amp;C9)</f>
        <v>0</v>
      </c>
      <c r="G9" s="43" t="n">
        <f aca="false">COUNTIFS(Outreach!$B$3:$B$300,"&gt;="&amp;B9,Outreach!$B$3:$B$300,"&lt;="&amp;C9,Outreach!$G$3:$G$300,"Yes",Outreach!$D$3:$D$300,"Referral")+COUNTIFS(Outreach!$B$3:$B$300,"&gt;="&amp;B9,Outreach!$B$3:$B$300,"&lt;="&amp;C9,Outreach!$G$3:$G$300,"Yes",Outreach!$D$3:$D$300,"Recruiter")</f>
        <v>0</v>
      </c>
      <c r="H9" s="43" t="n">
        <f aca="false">COUNTIFS(Applications!$L$3:$L$300,"&gt;="&amp;B9,Applications!$L$3:$L$300,"&lt;="&amp;C9)</f>
        <v>0</v>
      </c>
      <c r="I9" s="43" t="n">
        <f aca="false">COUNTIFS('Freelance Pipeline'!$F$3:$F$100,"Paid",'Freelance Pipeline'!$B$3:$B$100,"&gt;="&amp;B9,'Freelance Pipeline'!$B$3:$B$100,"&lt;="&amp;C9)</f>
        <v>0</v>
      </c>
      <c r="J9" s="45" t="n">
        <f aca="false">SUMIFS('Freelance Pipeline'!$H$3:$H$100,'Freelance Pipeline'!$B$3:$B$100,"&gt;="&amp;B9,'Freelance Pipeline'!$B$3:$B$100,"&lt;="&amp;C9)</f>
        <v>0</v>
      </c>
      <c r="K9" s="42"/>
      <c r="L9" s="42"/>
      <c r="M9" s="46" t="n">
        <f aca="false">(D9&gt;=$D$2)+(E9&gt;=$E$2)+(F9&gt;=$F$2)+(G9&gt;=$G$2)+(H9&gt;=$H$2)+(K9&gt;=$K$2)</f>
        <v>0</v>
      </c>
    </row>
    <row r="10" customFormat="false" ht="15" hidden="false" customHeight="true" outlineLevel="0" collapsed="false">
      <c r="A10" s="43" t="n">
        <v>8</v>
      </c>
      <c r="B10" s="44" t="n">
        <f aca="false">'Start Here'!$B$3+7*(A10-1)</f>
        <v>46358</v>
      </c>
      <c r="C10" s="44" t="n">
        <f aca="false">B10+6</f>
        <v>46364</v>
      </c>
      <c r="D10" s="43" t="n">
        <f aca="false">COUNTIFS(Applications!$B$3:$B$300,"&gt;="&amp;B10,Applications!$B$3:$B$300,"&lt;="&amp;C10)</f>
        <v>0</v>
      </c>
      <c r="E10" s="43" t="n">
        <f aca="false">COUNTIFS(Outreach!$B$3:$B$300,"&gt;="&amp;B10,Outreach!$B$3:$B$300,"&lt;="&amp;C10)</f>
        <v>0</v>
      </c>
      <c r="F10" s="43" t="n">
        <f aca="false">COUNTIFS(Applications!$J$3:$J$300,"&gt;="&amp;B10,Applications!$J$3:$J$300,"&lt;="&amp;C10)+COUNTIFS(Applications!$K$3:$K$300,"&gt;="&amp;B10,Applications!$K$3:$K$300,"&lt;="&amp;C10)+COUNTIFS(Outreach!$H$3:$H$300,"&gt;="&amp;B10,Outreach!$H$3:$H$300,"&lt;="&amp;C10)+COUNTIFS(Outreach!$I$3:$I$300,"&gt;="&amp;B10,Outreach!$I$3:$I$300,"&lt;="&amp;C10)</f>
        <v>0</v>
      </c>
      <c r="G10" s="43" t="n">
        <f aca="false">COUNTIFS(Outreach!$B$3:$B$300,"&gt;="&amp;B10,Outreach!$B$3:$B$300,"&lt;="&amp;C10,Outreach!$G$3:$G$300,"Yes",Outreach!$D$3:$D$300,"Referral")+COUNTIFS(Outreach!$B$3:$B$300,"&gt;="&amp;B10,Outreach!$B$3:$B$300,"&lt;="&amp;C10,Outreach!$G$3:$G$300,"Yes",Outreach!$D$3:$D$300,"Recruiter")</f>
        <v>0</v>
      </c>
      <c r="H10" s="43" t="n">
        <f aca="false">COUNTIFS(Applications!$L$3:$L$300,"&gt;="&amp;B10,Applications!$L$3:$L$300,"&lt;="&amp;C10)</f>
        <v>0</v>
      </c>
      <c r="I10" s="43" t="n">
        <f aca="false">COUNTIFS('Freelance Pipeline'!$F$3:$F$100,"Paid",'Freelance Pipeline'!$B$3:$B$100,"&gt;="&amp;B10,'Freelance Pipeline'!$B$3:$B$100,"&lt;="&amp;C10)</f>
        <v>0</v>
      </c>
      <c r="J10" s="45" t="n">
        <f aca="false">SUMIFS('Freelance Pipeline'!$H$3:$H$100,'Freelance Pipeline'!$B$3:$B$100,"&gt;="&amp;B10,'Freelance Pipeline'!$B$3:$B$100,"&lt;="&amp;C10)</f>
        <v>0</v>
      </c>
      <c r="K10" s="42"/>
      <c r="L10" s="42"/>
      <c r="M10" s="46" t="n">
        <f aca="false">(D10&gt;=$D$2)+(E10&gt;=$E$2)+(F10&gt;=$F$2)+(G10&gt;=$G$2)+(H10&gt;=$H$2)+(K10&gt;=$K$2)</f>
        <v>0</v>
      </c>
    </row>
    <row r="11" customFormat="false" ht="15" hidden="false" customHeight="true" outlineLevel="0" collapsed="false">
      <c r="A11" s="43" t="n">
        <v>9</v>
      </c>
      <c r="B11" s="44" t="n">
        <f aca="false">'Start Here'!$B$3+7*(A11-1)</f>
        <v>46365</v>
      </c>
      <c r="C11" s="44" t="n">
        <f aca="false">B11+6</f>
        <v>46371</v>
      </c>
      <c r="D11" s="43" t="n">
        <f aca="false">COUNTIFS(Applications!$B$3:$B$300,"&gt;="&amp;B11,Applications!$B$3:$B$300,"&lt;="&amp;C11)</f>
        <v>0</v>
      </c>
      <c r="E11" s="43" t="n">
        <f aca="false">COUNTIFS(Outreach!$B$3:$B$300,"&gt;="&amp;B11,Outreach!$B$3:$B$300,"&lt;="&amp;C11)</f>
        <v>0</v>
      </c>
      <c r="F11" s="43" t="n">
        <f aca="false">COUNTIFS(Applications!$J$3:$J$300,"&gt;="&amp;B11,Applications!$J$3:$J$300,"&lt;="&amp;C11)+COUNTIFS(Applications!$K$3:$K$300,"&gt;="&amp;B11,Applications!$K$3:$K$300,"&lt;="&amp;C11)+COUNTIFS(Outreach!$H$3:$H$300,"&gt;="&amp;B11,Outreach!$H$3:$H$300,"&lt;="&amp;C11)+COUNTIFS(Outreach!$I$3:$I$300,"&gt;="&amp;B11,Outreach!$I$3:$I$300,"&lt;="&amp;C11)</f>
        <v>0</v>
      </c>
      <c r="G11" s="43" t="n">
        <f aca="false">COUNTIFS(Outreach!$B$3:$B$300,"&gt;="&amp;B11,Outreach!$B$3:$B$300,"&lt;="&amp;C11,Outreach!$G$3:$G$300,"Yes",Outreach!$D$3:$D$300,"Referral")+COUNTIFS(Outreach!$B$3:$B$300,"&gt;="&amp;B11,Outreach!$B$3:$B$300,"&lt;="&amp;C11,Outreach!$G$3:$G$300,"Yes",Outreach!$D$3:$D$300,"Recruiter")</f>
        <v>0</v>
      </c>
      <c r="H11" s="43" t="n">
        <f aca="false">COUNTIFS(Applications!$L$3:$L$300,"&gt;="&amp;B11,Applications!$L$3:$L$300,"&lt;="&amp;C11)</f>
        <v>0</v>
      </c>
      <c r="I11" s="43" t="n">
        <f aca="false">COUNTIFS('Freelance Pipeline'!$F$3:$F$100,"Paid",'Freelance Pipeline'!$B$3:$B$100,"&gt;="&amp;B11,'Freelance Pipeline'!$B$3:$B$100,"&lt;="&amp;C11)</f>
        <v>0</v>
      </c>
      <c r="J11" s="45" t="n">
        <f aca="false">SUMIFS('Freelance Pipeline'!$H$3:$H$100,'Freelance Pipeline'!$B$3:$B$100,"&gt;="&amp;B11,'Freelance Pipeline'!$B$3:$B$100,"&lt;="&amp;C11)</f>
        <v>0</v>
      </c>
      <c r="K11" s="42"/>
      <c r="L11" s="42"/>
      <c r="M11" s="46" t="n">
        <f aca="false">(D11&gt;=$D$2)+(E11&gt;=$E$2)+(F11&gt;=$F$2)+(G11&gt;=$G$2)+(H11&gt;=$H$2)+(K11&gt;=$K$2)</f>
        <v>0</v>
      </c>
    </row>
    <row r="12" customFormat="false" ht="15" hidden="false" customHeight="true" outlineLevel="0" collapsed="false">
      <c r="A12" s="43" t="n">
        <v>10</v>
      </c>
      <c r="B12" s="44" t="n">
        <f aca="false">'Start Here'!$B$3+7*(A12-1)</f>
        <v>46372</v>
      </c>
      <c r="C12" s="44" t="n">
        <f aca="false">B12+6</f>
        <v>46378</v>
      </c>
      <c r="D12" s="43" t="n">
        <f aca="false">COUNTIFS(Applications!$B$3:$B$300,"&gt;="&amp;B12,Applications!$B$3:$B$300,"&lt;="&amp;C12)</f>
        <v>0</v>
      </c>
      <c r="E12" s="43" t="n">
        <f aca="false">COUNTIFS(Outreach!$B$3:$B$300,"&gt;="&amp;B12,Outreach!$B$3:$B$300,"&lt;="&amp;C12)</f>
        <v>0</v>
      </c>
      <c r="F12" s="43" t="n">
        <f aca="false">COUNTIFS(Applications!$J$3:$J$300,"&gt;="&amp;B12,Applications!$J$3:$J$300,"&lt;="&amp;C12)+COUNTIFS(Applications!$K$3:$K$300,"&gt;="&amp;B12,Applications!$K$3:$K$300,"&lt;="&amp;C12)+COUNTIFS(Outreach!$H$3:$H$300,"&gt;="&amp;B12,Outreach!$H$3:$H$300,"&lt;="&amp;C12)+COUNTIFS(Outreach!$I$3:$I$300,"&gt;="&amp;B12,Outreach!$I$3:$I$300,"&lt;="&amp;C12)</f>
        <v>0</v>
      </c>
      <c r="G12" s="43" t="n">
        <f aca="false">COUNTIFS(Outreach!$B$3:$B$300,"&gt;="&amp;B12,Outreach!$B$3:$B$300,"&lt;="&amp;C12,Outreach!$G$3:$G$300,"Yes",Outreach!$D$3:$D$300,"Referral")+COUNTIFS(Outreach!$B$3:$B$300,"&gt;="&amp;B12,Outreach!$B$3:$B$300,"&lt;="&amp;C12,Outreach!$G$3:$G$300,"Yes",Outreach!$D$3:$D$300,"Recruiter")</f>
        <v>0</v>
      </c>
      <c r="H12" s="43" t="n">
        <f aca="false">COUNTIFS(Applications!$L$3:$L$300,"&gt;="&amp;B12,Applications!$L$3:$L$300,"&lt;="&amp;C12)</f>
        <v>0</v>
      </c>
      <c r="I12" s="43" t="n">
        <f aca="false">COUNTIFS('Freelance Pipeline'!$F$3:$F$100,"Paid",'Freelance Pipeline'!$B$3:$B$100,"&gt;="&amp;B12,'Freelance Pipeline'!$B$3:$B$100,"&lt;="&amp;C12)</f>
        <v>0</v>
      </c>
      <c r="J12" s="45" t="n">
        <f aca="false">SUMIFS('Freelance Pipeline'!$H$3:$H$100,'Freelance Pipeline'!$B$3:$B$100,"&gt;="&amp;B12,'Freelance Pipeline'!$B$3:$B$100,"&lt;="&amp;C12)</f>
        <v>0</v>
      </c>
      <c r="K12" s="42"/>
      <c r="L12" s="42"/>
      <c r="M12" s="46" t="n">
        <f aca="false">(D12&gt;=$D$2)+(E12&gt;=$E$2)+(F12&gt;=$F$2)+(G12&gt;=$G$2)+(H12&gt;=$H$2)+(K12&gt;=$K$2)</f>
        <v>0</v>
      </c>
    </row>
    <row r="13" customFormat="false" ht="15" hidden="false" customHeight="true" outlineLevel="0" collapsed="false">
      <c r="A13" s="43" t="n">
        <v>11</v>
      </c>
      <c r="B13" s="44" t="n">
        <f aca="false">'Start Here'!$B$3+7*(A13-1)</f>
        <v>46379</v>
      </c>
      <c r="C13" s="44" t="n">
        <f aca="false">B13+6</f>
        <v>46385</v>
      </c>
      <c r="D13" s="43" t="n">
        <f aca="false">COUNTIFS(Applications!$B$3:$B$300,"&gt;="&amp;B13,Applications!$B$3:$B$300,"&lt;="&amp;C13)</f>
        <v>0</v>
      </c>
      <c r="E13" s="43" t="n">
        <f aca="false">COUNTIFS(Outreach!$B$3:$B$300,"&gt;="&amp;B13,Outreach!$B$3:$B$300,"&lt;="&amp;C13)</f>
        <v>0</v>
      </c>
      <c r="F13" s="43" t="n">
        <f aca="false">COUNTIFS(Applications!$J$3:$J$300,"&gt;="&amp;B13,Applications!$J$3:$J$300,"&lt;="&amp;C13)+COUNTIFS(Applications!$K$3:$K$300,"&gt;="&amp;B13,Applications!$K$3:$K$300,"&lt;="&amp;C13)+COUNTIFS(Outreach!$H$3:$H$300,"&gt;="&amp;B13,Outreach!$H$3:$H$300,"&lt;="&amp;C13)+COUNTIFS(Outreach!$I$3:$I$300,"&gt;="&amp;B13,Outreach!$I$3:$I$300,"&lt;="&amp;C13)</f>
        <v>0</v>
      </c>
      <c r="G13" s="43" t="n">
        <f aca="false">COUNTIFS(Outreach!$B$3:$B$300,"&gt;="&amp;B13,Outreach!$B$3:$B$300,"&lt;="&amp;C13,Outreach!$G$3:$G$300,"Yes",Outreach!$D$3:$D$300,"Referral")+COUNTIFS(Outreach!$B$3:$B$300,"&gt;="&amp;B13,Outreach!$B$3:$B$300,"&lt;="&amp;C13,Outreach!$G$3:$G$300,"Yes",Outreach!$D$3:$D$300,"Recruiter")</f>
        <v>0</v>
      </c>
      <c r="H13" s="43" t="n">
        <f aca="false">COUNTIFS(Applications!$L$3:$L$300,"&gt;="&amp;B13,Applications!$L$3:$L$300,"&lt;="&amp;C13)</f>
        <v>0</v>
      </c>
      <c r="I13" s="43" t="n">
        <f aca="false">COUNTIFS('Freelance Pipeline'!$F$3:$F$100,"Paid",'Freelance Pipeline'!$B$3:$B$100,"&gt;="&amp;B13,'Freelance Pipeline'!$B$3:$B$100,"&lt;="&amp;C13)</f>
        <v>0</v>
      </c>
      <c r="J13" s="45" t="n">
        <f aca="false">SUMIFS('Freelance Pipeline'!$H$3:$H$100,'Freelance Pipeline'!$B$3:$B$100,"&gt;="&amp;B13,'Freelance Pipeline'!$B$3:$B$100,"&lt;="&amp;C13)</f>
        <v>0</v>
      </c>
      <c r="K13" s="42"/>
      <c r="L13" s="42"/>
      <c r="M13" s="46" t="n">
        <f aca="false">(D13&gt;=$D$2)+(E13&gt;=$E$2)+(F13&gt;=$F$2)+(G13&gt;=$G$2)+(H13&gt;=$H$2)+(K13&gt;=$K$2)</f>
        <v>0</v>
      </c>
    </row>
    <row r="14" customFormat="false" ht="15" hidden="false" customHeight="true" outlineLevel="0" collapsed="false">
      <c r="A14" s="43" t="n">
        <v>12</v>
      </c>
      <c r="B14" s="44" t="n">
        <f aca="false">'Start Here'!$B$3+7*(A14-1)</f>
        <v>46386</v>
      </c>
      <c r="C14" s="44" t="n">
        <f aca="false">B14+6</f>
        <v>46392</v>
      </c>
      <c r="D14" s="43" t="n">
        <f aca="false">COUNTIFS(Applications!$B$3:$B$300,"&gt;="&amp;B14,Applications!$B$3:$B$300,"&lt;="&amp;C14)</f>
        <v>0</v>
      </c>
      <c r="E14" s="43" t="n">
        <f aca="false">COUNTIFS(Outreach!$B$3:$B$300,"&gt;="&amp;B14,Outreach!$B$3:$B$300,"&lt;="&amp;C14)</f>
        <v>0</v>
      </c>
      <c r="F14" s="43" t="n">
        <f aca="false">COUNTIFS(Applications!$J$3:$J$300,"&gt;="&amp;B14,Applications!$J$3:$J$300,"&lt;="&amp;C14)+COUNTIFS(Applications!$K$3:$K$300,"&gt;="&amp;B14,Applications!$K$3:$K$300,"&lt;="&amp;C14)+COUNTIFS(Outreach!$H$3:$H$300,"&gt;="&amp;B14,Outreach!$H$3:$H$300,"&lt;="&amp;C14)+COUNTIFS(Outreach!$I$3:$I$300,"&gt;="&amp;B14,Outreach!$I$3:$I$300,"&lt;="&amp;C14)</f>
        <v>0</v>
      </c>
      <c r="G14" s="43" t="n">
        <f aca="false">COUNTIFS(Outreach!$B$3:$B$300,"&gt;="&amp;B14,Outreach!$B$3:$B$300,"&lt;="&amp;C14,Outreach!$G$3:$G$300,"Yes",Outreach!$D$3:$D$300,"Referral")+COUNTIFS(Outreach!$B$3:$B$300,"&gt;="&amp;B14,Outreach!$B$3:$B$300,"&lt;="&amp;C14,Outreach!$G$3:$G$300,"Yes",Outreach!$D$3:$D$300,"Recruiter")</f>
        <v>0</v>
      </c>
      <c r="H14" s="43" t="n">
        <f aca="false">COUNTIFS(Applications!$L$3:$L$300,"&gt;="&amp;B14,Applications!$L$3:$L$300,"&lt;="&amp;C14)</f>
        <v>0</v>
      </c>
      <c r="I14" s="43" t="n">
        <f aca="false">COUNTIFS('Freelance Pipeline'!$F$3:$F$100,"Paid",'Freelance Pipeline'!$B$3:$B$100,"&gt;="&amp;B14,'Freelance Pipeline'!$B$3:$B$100,"&lt;="&amp;C14)</f>
        <v>0</v>
      </c>
      <c r="J14" s="45" t="n">
        <f aca="false">SUMIFS('Freelance Pipeline'!$H$3:$H$100,'Freelance Pipeline'!$B$3:$B$100,"&gt;="&amp;B14,'Freelance Pipeline'!$B$3:$B$100,"&lt;="&amp;C14)</f>
        <v>0</v>
      </c>
      <c r="K14" s="42"/>
      <c r="L14" s="42"/>
      <c r="M14" s="46" t="n">
        <f aca="false">(D14&gt;=$D$2)+(E14&gt;=$E$2)+(F14&gt;=$F$2)+(G14&gt;=$G$2)+(H14&gt;=$H$2)+(K14&gt;=$K$2)</f>
        <v>0</v>
      </c>
    </row>
    <row r="15" customFormat="false" ht="15" hidden="false" customHeight="true" outlineLevel="0" collapsed="false">
      <c r="A15" s="43" t="n">
        <v>13</v>
      </c>
      <c r="B15" s="44" t="n">
        <f aca="false">'Start Here'!$B$3+7*(A15-1)</f>
        <v>46393</v>
      </c>
      <c r="C15" s="44" t="n">
        <f aca="false">B15+6</f>
        <v>46399</v>
      </c>
      <c r="D15" s="43" t="n">
        <f aca="false">COUNTIFS(Applications!$B$3:$B$300,"&gt;="&amp;B15,Applications!$B$3:$B$300,"&lt;="&amp;C15)</f>
        <v>0</v>
      </c>
      <c r="E15" s="43" t="n">
        <f aca="false">COUNTIFS(Outreach!$B$3:$B$300,"&gt;="&amp;B15,Outreach!$B$3:$B$300,"&lt;="&amp;C15)</f>
        <v>0</v>
      </c>
      <c r="F15" s="43" t="n">
        <f aca="false">COUNTIFS(Applications!$J$3:$J$300,"&gt;="&amp;B15,Applications!$J$3:$J$300,"&lt;="&amp;C15)+COUNTIFS(Applications!$K$3:$K$300,"&gt;="&amp;B15,Applications!$K$3:$K$300,"&lt;="&amp;C15)+COUNTIFS(Outreach!$H$3:$H$300,"&gt;="&amp;B15,Outreach!$H$3:$H$300,"&lt;="&amp;C15)+COUNTIFS(Outreach!$I$3:$I$300,"&gt;="&amp;B15,Outreach!$I$3:$I$300,"&lt;="&amp;C15)</f>
        <v>0</v>
      </c>
      <c r="G15" s="43" t="n">
        <f aca="false">COUNTIFS(Outreach!$B$3:$B$300,"&gt;="&amp;B15,Outreach!$B$3:$B$300,"&lt;="&amp;C15,Outreach!$G$3:$G$300,"Yes",Outreach!$D$3:$D$300,"Referral")+COUNTIFS(Outreach!$B$3:$B$300,"&gt;="&amp;B15,Outreach!$B$3:$B$300,"&lt;="&amp;C15,Outreach!$G$3:$G$300,"Yes",Outreach!$D$3:$D$300,"Recruiter")</f>
        <v>0</v>
      </c>
      <c r="H15" s="43" t="n">
        <f aca="false">COUNTIFS(Applications!$L$3:$L$300,"&gt;="&amp;B15,Applications!$L$3:$L$300,"&lt;="&amp;C15)</f>
        <v>0</v>
      </c>
      <c r="I15" s="43" t="n">
        <f aca="false">COUNTIFS('Freelance Pipeline'!$F$3:$F$100,"Paid",'Freelance Pipeline'!$B$3:$B$100,"&gt;="&amp;B15,'Freelance Pipeline'!$B$3:$B$100,"&lt;="&amp;C15)</f>
        <v>0</v>
      </c>
      <c r="J15" s="45" t="n">
        <f aca="false">SUMIFS('Freelance Pipeline'!$H$3:$H$100,'Freelance Pipeline'!$B$3:$B$100,"&gt;="&amp;B15,'Freelance Pipeline'!$B$3:$B$100,"&lt;="&amp;C15)</f>
        <v>0</v>
      </c>
      <c r="K15" s="42"/>
      <c r="L15" s="42"/>
      <c r="M15" s="46" t="n">
        <f aca="false">(D15&gt;=$D$2)+(E15&gt;=$E$2)+(F15&gt;=$F$2)+(G15&gt;=$G$2)+(H15&gt;=$H$2)+(K15&gt;=$K$2)</f>
        <v>0</v>
      </c>
    </row>
    <row r="16" customFormat="false" ht="15" hidden="false" customHeight="true" outlineLevel="0" collapsed="false">
      <c r="A16" s="3" t="s">
        <v>1020</v>
      </c>
      <c r="D16" s="40" t="n">
        <f aca="false">SUM(D3:D15)</f>
        <v>0</v>
      </c>
      <c r="E16" s="40" t="n">
        <f aca="false">SUM(E3:E15)</f>
        <v>0</v>
      </c>
      <c r="F16" s="40" t="n">
        <f aca="false">SUM(F3:F15)</f>
        <v>0</v>
      </c>
      <c r="G16" s="40" t="n">
        <f aca="false">SUM(G3:G15)</f>
        <v>0</v>
      </c>
      <c r="H16" s="40" t="n">
        <f aca="false">SUM(H3:H15)</f>
        <v>0</v>
      </c>
      <c r="I16" s="40" t="n">
        <f aca="false">SUM(I3:I15)</f>
        <v>0</v>
      </c>
      <c r="J16" s="47" t="n">
        <f aca="false">SUM(J3:J15)</f>
        <v>0</v>
      </c>
      <c r="K16" s="40" t="n">
        <f aca="false">SUM(K3:K15)</f>
        <v>0</v>
      </c>
      <c r="L16" s="40" t="n">
        <f aca="false">SUM(L3:L15)</f>
        <v>0</v>
      </c>
    </row>
    <row r="18" customFormat="false" ht="15" hidden="false" customHeight="true" outlineLevel="0" collapsed="false">
      <c r="A18" s="3" t="s">
        <v>1021</v>
      </c>
    </row>
    <row r="19" customFormat="false" ht="15" hidden="false" customHeight="true" outlineLevel="0" collapsed="false">
      <c r="A19" s="48" t="s">
        <v>1022</v>
      </c>
    </row>
    <row r="20" customFormat="false" ht="15" hidden="false" customHeight="true" outlineLevel="0" collapsed="false">
      <c r="A20" s="48" t="s">
        <v>1023</v>
      </c>
    </row>
    <row r="21" customFormat="false" ht="15" hidden="false" customHeight="true" outlineLevel="0" collapsed="false">
      <c r="A21" s="48" t="s">
        <v>1024</v>
      </c>
    </row>
    <row r="22" customFormat="false" ht="15" hidden="false" customHeight="true" outlineLevel="0" collapsed="false">
      <c r="A22" s="48" t="s">
        <v>1025</v>
      </c>
    </row>
    <row r="23" customFormat="false" ht="15" hidden="false" customHeight="true" outlineLevel="0" collapsed="false">
      <c r="A23" s="48" t="s">
        <v>1026</v>
      </c>
    </row>
    <row r="25" customFormat="false" ht="15" hidden="false" customHeight="true" outlineLevel="0" collapsed="false">
      <c r="A25" s="5" t="s">
        <v>1027</v>
      </c>
    </row>
  </sheetData>
  <conditionalFormatting sqref="M3:M15">
    <cfRule type="cellIs" priority="2" operator="greaterThanOrEqual" aboveAverage="0" equalAverage="0" bottom="0" percent="0" rank="0" text="" dxfId="7">
      <formula>4</formula>
    </cfRule>
    <cfRule type="cellIs" priority="3" operator="lessThanOrEqual" aboveAverage="0" equalAverage="0" bottom="0" percent="0" rank="0" text="" dxfId="8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5"/>
  </cols>
  <sheetData>
    <row r="1" customFormat="false" ht="31.5" hidden="false" customHeight="true" outlineLevel="0" collapsed="false">
      <c r="A1" s="21" t="s">
        <v>567</v>
      </c>
      <c r="B1" s="21" t="s">
        <v>1028</v>
      </c>
      <c r="C1" s="21" t="s">
        <v>121</v>
      </c>
      <c r="D1" s="21" t="s">
        <v>1029</v>
      </c>
      <c r="E1" s="21" t="s">
        <v>1030</v>
      </c>
      <c r="F1" s="21" t="s">
        <v>572</v>
      </c>
    </row>
    <row r="2" customFormat="false" ht="23.25" hidden="false" customHeight="true" outlineLevel="0" collapsed="false">
      <c r="A2" s="22" t="s">
        <v>1031</v>
      </c>
      <c r="B2" s="22" t="s">
        <v>194</v>
      </c>
      <c r="C2" s="22"/>
      <c r="D2" s="25"/>
      <c r="E2" s="22"/>
      <c r="F2" s="22"/>
    </row>
    <row r="3" customFormat="false" ht="23.25" hidden="false" customHeight="true" outlineLevel="0" collapsed="false">
      <c r="A3" s="22" t="s">
        <v>1032</v>
      </c>
      <c r="B3" s="22" t="s">
        <v>194</v>
      </c>
      <c r="C3" s="22"/>
      <c r="D3" s="25"/>
      <c r="E3" s="22"/>
      <c r="F3" s="22"/>
    </row>
    <row r="4" customFormat="false" ht="15" hidden="false" customHeight="true" outlineLevel="0" collapsed="false">
      <c r="A4" s="22" t="s">
        <v>1033</v>
      </c>
      <c r="B4" s="22" t="s">
        <v>917</v>
      </c>
      <c r="C4" s="22"/>
      <c r="D4" s="25"/>
      <c r="E4" s="22"/>
      <c r="F4" s="22"/>
    </row>
    <row r="5" customFormat="false" ht="23.25" hidden="false" customHeight="true" outlineLevel="0" collapsed="false">
      <c r="A5" s="22" t="s">
        <v>1034</v>
      </c>
      <c r="B5" s="22" t="s">
        <v>1035</v>
      </c>
      <c r="C5" s="22"/>
      <c r="D5" s="25"/>
      <c r="E5" s="22"/>
      <c r="F5" s="22"/>
    </row>
    <row r="6" customFormat="false" ht="15" hidden="false" customHeight="true" outlineLevel="0" collapsed="false">
      <c r="A6" s="22" t="s">
        <v>1036</v>
      </c>
      <c r="B6" s="22" t="s">
        <v>1035</v>
      </c>
      <c r="C6" s="22"/>
      <c r="D6" s="25"/>
      <c r="E6" s="22"/>
      <c r="F6" s="22"/>
    </row>
    <row r="7" customFormat="false" ht="15" hidden="false" customHeight="true" outlineLevel="0" collapsed="false">
      <c r="A7" s="22" t="s">
        <v>1037</v>
      </c>
      <c r="B7" s="22" t="s">
        <v>1038</v>
      </c>
      <c r="C7" s="22"/>
      <c r="D7" s="25"/>
      <c r="E7" s="22"/>
      <c r="F7" s="22"/>
    </row>
    <row r="8" customFormat="false" ht="23.25" hidden="false" customHeight="true" outlineLevel="0" collapsed="false">
      <c r="A8" s="22" t="s">
        <v>1039</v>
      </c>
      <c r="B8" s="22" t="s">
        <v>1038</v>
      </c>
      <c r="C8" s="22"/>
      <c r="D8" s="25"/>
      <c r="E8" s="22"/>
      <c r="F8" s="22"/>
    </row>
    <row r="9" customFormat="false" ht="15" hidden="false" customHeight="true" outlineLevel="0" collapsed="false">
      <c r="A9" s="22" t="s">
        <v>1040</v>
      </c>
      <c r="B9" s="22" t="s">
        <v>299</v>
      </c>
      <c r="C9" s="22"/>
      <c r="D9" s="25"/>
      <c r="E9" s="22"/>
      <c r="F9" s="22"/>
    </row>
    <row r="10" customFormat="false" ht="15" hidden="false" customHeight="true" outlineLevel="0" collapsed="false">
      <c r="A10" s="22" t="s">
        <v>1041</v>
      </c>
      <c r="B10" s="22" t="s">
        <v>299</v>
      </c>
      <c r="C10" s="22"/>
      <c r="D10" s="25"/>
      <c r="E10" s="22"/>
      <c r="F10" s="22"/>
    </row>
    <row r="11" customFormat="false" ht="23.25" hidden="false" customHeight="true" outlineLevel="0" collapsed="false">
      <c r="A11" s="22" t="s">
        <v>1042</v>
      </c>
      <c r="B11" s="22" t="s">
        <v>355</v>
      </c>
      <c r="C11" s="22"/>
      <c r="D11" s="25"/>
      <c r="E11" s="22"/>
      <c r="F11" s="22"/>
    </row>
    <row r="12" customFormat="false" ht="15" hidden="false" customHeight="true" outlineLevel="0" collapsed="false">
      <c r="A12" s="22" t="s">
        <v>1043</v>
      </c>
      <c r="B12" s="22" t="s">
        <v>1044</v>
      </c>
      <c r="C12" s="22"/>
      <c r="D12" s="25"/>
      <c r="E12" s="22"/>
      <c r="F12" s="22"/>
    </row>
    <row r="13" customFormat="false" ht="23.25" hidden="false" customHeight="true" outlineLevel="0" collapsed="false">
      <c r="A13" s="22" t="s">
        <v>1045</v>
      </c>
      <c r="B13" s="22" t="s">
        <v>1044</v>
      </c>
      <c r="C13" s="22"/>
      <c r="D13" s="25"/>
      <c r="E13" s="22"/>
      <c r="F13" s="22"/>
    </row>
    <row r="14" customFormat="false" ht="15" hidden="false" customHeight="true" outlineLevel="0" collapsed="false">
      <c r="A14" s="22" t="s">
        <v>1046</v>
      </c>
      <c r="B14" s="22" t="s">
        <v>137</v>
      </c>
      <c r="C14" s="22"/>
      <c r="D14" s="25"/>
      <c r="E14" s="22"/>
      <c r="F14" s="22"/>
    </row>
    <row r="15" customFormat="false" ht="23.25" hidden="false" customHeight="true" outlineLevel="0" collapsed="false">
      <c r="A15" s="22" t="s">
        <v>1047</v>
      </c>
      <c r="B15" s="22" t="s">
        <v>1048</v>
      </c>
      <c r="C15" s="22"/>
      <c r="D15" s="25"/>
      <c r="E15" s="22"/>
      <c r="F15" s="22"/>
    </row>
    <row r="16" customFormat="false" ht="23.25" hidden="false" customHeight="true" outlineLevel="0" collapsed="false">
      <c r="A16" s="22" t="s">
        <v>1049</v>
      </c>
      <c r="B16" s="22" t="s">
        <v>1048</v>
      </c>
      <c r="C16" s="22"/>
      <c r="D16" s="25"/>
      <c r="E16" s="22"/>
      <c r="F16" s="22"/>
    </row>
    <row r="17" customFormat="false" ht="23.25" hidden="false" customHeight="true" outlineLevel="0" collapsed="false">
      <c r="A17" s="22" t="s">
        <v>1050</v>
      </c>
      <c r="B17" s="22" t="s">
        <v>1048</v>
      </c>
      <c r="C17" s="22"/>
      <c r="D17" s="25"/>
      <c r="E17" s="22"/>
      <c r="F17" s="22"/>
    </row>
    <row r="18" customFormat="false" ht="23.25" hidden="false" customHeight="true" outlineLevel="0" collapsed="false">
      <c r="A18" s="22" t="s">
        <v>1051</v>
      </c>
      <c r="B18" s="22" t="s">
        <v>1048</v>
      </c>
      <c r="C18" s="22"/>
      <c r="D18" s="25"/>
      <c r="E18" s="22"/>
      <c r="F18" s="22"/>
    </row>
    <row r="19" customFormat="false" ht="23.25" hidden="false" customHeight="true" outlineLevel="0" collapsed="false">
      <c r="A19" s="22" t="s">
        <v>1052</v>
      </c>
      <c r="B19" s="22" t="s">
        <v>1053</v>
      </c>
      <c r="C19" s="22"/>
      <c r="D19" s="25"/>
      <c r="E19" s="22"/>
      <c r="F19" s="22"/>
    </row>
    <row r="21" customFormat="false" ht="15" hidden="false" customHeight="true" outlineLevel="0" collapsed="false">
      <c r="A21" s="3" t="s">
        <v>1054</v>
      </c>
      <c r="C21" s="3" t="n">
        <f aca="false">COUNTIF(C2:C19,"1")+COUNTIF(C2:C19,"2")</f>
        <v>0</v>
      </c>
    </row>
  </sheetData>
  <dataValidations count="2">
    <dataValidation allowBlank="true" errorStyle="stop" operator="between" showDropDown="false" showErrorMessage="false" showInputMessage="false" sqref="C2:C19" type="list">
      <formula1>"1,2,3,4,5"</formula1>
      <formula2>0</formula2>
    </dataValidation>
    <dataValidation allowBlank="true" errorStyle="stop" operator="between" showDropDown="false" showErrorMessage="false" showInputMessage="false" sqref="E2:E19" type="list">
      <formula1>"Strong,OK,Weak"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30"/>
  </cols>
  <sheetData>
    <row r="1" customFormat="false" ht="15" hidden="false" customHeight="true" outlineLevel="0" collapsed="false">
      <c r="A1" s="49" t="s">
        <v>1055</v>
      </c>
    </row>
    <row r="3" customFormat="false" ht="15" hidden="false" customHeight="true" outlineLevel="0" collapsed="false">
      <c r="A3" s="3" t="s">
        <v>1056</v>
      </c>
      <c r="B3" s="50" t="n">
        <v>0</v>
      </c>
    </row>
    <row r="5" customFormat="false" ht="31.5" hidden="false" customHeight="true" outlineLevel="0" collapsed="false">
      <c r="A5" s="21" t="s">
        <v>1057</v>
      </c>
      <c r="B5" s="21" t="s">
        <v>111</v>
      </c>
      <c r="C5" s="21" t="s">
        <v>1058</v>
      </c>
      <c r="D5" s="21" t="s">
        <v>1059</v>
      </c>
      <c r="E5" s="21" t="s">
        <v>572</v>
      </c>
    </row>
    <row r="6" customFormat="false" ht="15" hidden="false" customHeight="true" outlineLevel="0" collapsed="false">
      <c r="A6" s="22" t="s">
        <v>1060</v>
      </c>
      <c r="B6" s="22" t="s">
        <v>128</v>
      </c>
      <c r="C6" s="51"/>
      <c r="D6" s="22"/>
      <c r="E6" s="22"/>
    </row>
    <row r="7" customFormat="false" ht="15" hidden="false" customHeight="true" outlineLevel="0" collapsed="false">
      <c r="A7" s="22" t="s">
        <v>1061</v>
      </c>
      <c r="B7" s="22" t="s">
        <v>128</v>
      </c>
      <c r="C7" s="51"/>
      <c r="D7" s="22"/>
      <c r="E7" s="22"/>
    </row>
    <row r="8" customFormat="false" ht="15" hidden="false" customHeight="true" outlineLevel="0" collapsed="false">
      <c r="A8" s="22" t="s">
        <v>1062</v>
      </c>
      <c r="B8" s="22" t="s">
        <v>128</v>
      </c>
      <c r="C8" s="51"/>
      <c r="D8" s="22"/>
      <c r="E8" s="22"/>
    </row>
    <row r="9" customFormat="false" ht="15" hidden="false" customHeight="true" outlineLevel="0" collapsed="false">
      <c r="A9" s="22" t="s">
        <v>1063</v>
      </c>
      <c r="B9" s="22" t="s">
        <v>128</v>
      </c>
      <c r="C9" s="51"/>
      <c r="D9" s="22"/>
      <c r="E9" s="22"/>
    </row>
    <row r="10" customFormat="false" ht="15" hidden="false" customHeight="true" outlineLevel="0" collapsed="false">
      <c r="A10" s="22" t="s">
        <v>1064</v>
      </c>
      <c r="B10" s="22" t="s">
        <v>128</v>
      </c>
      <c r="C10" s="51"/>
      <c r="D10" s="22"/>
      <c r="E10" s="22"/>
    </row>
    <row r="11" customFormat="false" ht="15" hidden="false" customHeight="true" outlineLevel="0" collapsed="false">
      <c r="A11" s="22" t="s">
        <v>1065</v>
      </c>
      <c r="B11" s="22" t="s">
        <v>128</v>
      </c>
      <c r="C11" s="51"/>
      <c r="D11" s="22"/>
      <c r="E11" s="22"/>
    </row>
    <row r="12" customFormat="false" ht="15" hidden="false" customHeight="true" outlineLevel="0" collapsed="false">
      <c r="A12" s="22" t="s">
        <v>1066</v>
      </c>
      <c r="B12" s="22" t="s">
        <v>1067</v>
      </c>
      <c r="C12" s="51"/>
      <c r="D12" s="22"/>
      <c r="E12" s="22"/>
    </row>
    <row r="13" customFormat="false" ht="15" hidden="false" customHeight="true" outlineLevel="0" collapsed="false">
      <c r="A13" s="22" t="s">
        <v>1068</v>
      </c>
      <c r="B13" s="22" t="s">
        <v>1067</v>
      </c>
      <c r="C13" s="51"/>
      <c r="D13" s="22"/>
      <c r="E13" s="22"/>
    </row>
    <row r="15" customFormat="false" ht="15" hidden="false" customHeight="true" outlineLevel="0" collapsed="false">
      <c r="A15" s="3" t="s">
        <v>1069</v>
      </c>
      <c r="C15" s="39" t="n">
        <f aca="false">SUMIFS(C6:C13,B6:B13,"Essential")</f>
        <v>0</v>
      </c>
    </row>
    <row r="16" customFormat="false" ht="15" hidden="false" customHeight="true" outlineLevel="0" collapsed="false">
      <c r="A16" s="3" t="s">
        <v>1070</v>
      </c>
      <c r="C16" s="39" t="n">
        <f aca="false">SUM(C6:C13)</f>
        <v>0</v>
      </c>
    </row>
    <row r="17" customFormat="false" ht="15" hidden="false" customHeight="true" outlineLevel="0" collapsed="false">
      <c r="A17" s="3" t="s">
        <v>1071</v>
      </c>
      <c r="C17" s="52" t="n">
        <f aca="false">IFERROR(B3/(C15/4.33),0)</f>
        <v>0</v>
      </c>
    </row>
    <row r="18" customFormat="false" ht="15" hidden="false" customHeight="true" outlineLevel="0" collapsed="false">
      <c r="A18" s="3" t="s">
        <v>1072</v>
      </c>
      <c r="C18" s="53" t="n">
        <f aca="false">'Freelance Pipeline'!H102</f>
        <v>0</v>
      </c>
    </row>
    <row r="20" customFormat="false" ht="15" hidden="false" customHeight="true" outlineLevel="0" collapsed="false">
      <c r="A20" s="54" t="s">
        <v>1073</v>
      </c>
      <c r="B20" s="54"/>
      <c r="C20" s="54"/>
      <c r="D20" s="54"/>
      <c r="E20" s="54"/>
    </row>
    <row r="21" customFormat="false" ht="15" hidden="false" customHeight="true" outlineLevel="0" collapsed="false">
      <c r="A21" s="54"/>
      <c r="B21" s="54"/>
      <c r="C21" s="54"/>
      <c r="D21" s="54"/>
      <c r="E21" s="54"/>
    </row>
    <row r="22" customFormat="false" ht="15" hidden="false" customHeight="true" outlineLevel="0" collapsed="false">
      <c r="A22" s="54"/>
      <c r="B22" s="54"/>
      <c r="C22" s="54"/>
      <c r="D22" s="54"/>
      <c r="E22" s="54"/>
    </row>
  </sheetData>
  <mergeCells count="1">
    <mergeCell ref="A20:E22"/>
  </mergeCells>
  <dataValidations count="2">
    <dataValidation allowBlank="true" errorStyle="stop" operator="between" showDropDown="false" showErrorMessage="false" showInputMessage="false" sqref="B6:B13" type="list">
      <formula1>"Essential,Important,Postpone"</formula1>
      <formula2>0</formula2>
    </dataValidation>
    <dataValidation allowBlank="true" errorStyle="stop" operator="between" showDropDown="false" showErrorMessage="false" showInputMessage="false" sqref="D6:D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33.75" hidden="false" customHeight="true" outlineLevel="0" collapsed="false">
      <c r="A1" s="21" t="s">
        <v>109</v>
      </c>
      <c r="B1" s="21" t="s">
        <v>1074</v>
      </c>
      <c r="C1" s="21" t="s">
        <v>1075</v>
      </c>
      <c r="D1" s="21" t="s">
        <v>1076</v>
      </c>
    </row>
    <row r="2" customFormat="false" ht="79.85" hidden="false" customHeight="false" outlineLevel="0" collapsed="false">
      <c r="A2" s="22" t="s">
        <v>1077</v>
      </c>
      <c r="B2" s="22" t="s">
        <v>1078</v>
      </c>
      <c r="C2" s="22" t="s">
        <v>1079</v>
      </c>
      <c r="D2" s="22" t="s">
        <v>1080</v>
      </c>
    </row>
    <row r="3" customFormat="false" ht="15" hidden="false" customHeight="false" outlineLevel="0" collapsed="false">
      <c r="A3" s="22" t="s">
        <v>1077</v>
      </c>
      <c r="B3" s="22" t="s">
        <v>1081</v>
      </c>
      <c r="C3" s="22" t="s">
        <v>1082</v>
      </c>
      <c r="D3" s="22" t="s">
        <v>1083</v>
      </c>
    </row>
    <row r="4" customFormat="false" ht="23.85" hidden="false" customHeight="false" outlineLevel="0" collapsed="false">
      <c r="A4" s="22" t="s">
        <v>1077</v>
      </c>
      <c r="B4" s="22" t="s">
        <v>1081</v>
      </c>
      <c r="C4" s="22" t="s">
        <v>1084</v>
      </c>
      <c r="D4" s="22" t="s">
        <v>1085</v>
      </c>
    </row>
    <row r="5" customFormat="false" ht="23.85" hidden="false" customHeight="false" outlineLevel="0" collapsed="false">
      <c r="A5" s="22" t="s">
        <v>1077</v>
      </c>
      <c r="B5" s="22" t="s">
        <v>1086</v>
      </c>
      <c r="C5" s="22" t="s">
        <v>1087</v>
      </c>
      <c r="D5" s="22" t="s">
        <v>1088</v>
      </c>
    </row>
    <row r="6" customFormat="false" ht="15" hidden="false" customHeight="false" outlineLevel="0" collapsed="false">
      <c r="A6" s="22" t="s">
        <v>1077</v>
      </c>
      <c r="B6" s="22" t="s">
        <v>1089</v>
      </c>
      <c r="C6" s="22" t="s">
        <v>1090</v>
      </c>
      <c r="D6" s="22" t="s">
        <v>1091</v>
      </c>
    </row>
    <row r="7" customFormat="false" ht="15" hidden="false" customHeight="false" outlineLevel="0" collapsed="false">
      <c r="A7" s="22" t="s">
        <v>1077</v>
      </c>
      <c r="B7" s="22" t="s">
        <v>1092</v>
      </c>
      <c r="C7" s="22" t="s">
        <v>1093</v>
      </c>
      <c r="D7" s="22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2026-10-14T13:09:25Z</dcterms:created>
  <dc:creator>openpyxl</dc:creator>
  <dc:description/>
  <dc:language>en-US</dc:language>
  <cp:lastModifiedBy/>
  <dcterms:modified xsi:type="dcterms:W3CDTF">2026-10-15T10:03:33Z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